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houmuxin/Desktop/"/>
    </mc:Choice>
  </mc:AlternateContent>
  <xr:revisionPtr revIDLastSave="0" documentId="13_ncr:1_{B8B1EB81-44E4-004C-96B5-6C4E5394B4BA}" xr6:coauthVersionLast="47" xr6:coauthVersionMax="47" xr10:uidLastSave="{00000000-0000-0000-0000-000000000000}"/>
  <bookViews>
    <workbookView xWindow="2660" yWindow="760" windowWidth="26720" windowHeight="16800" activeTab="1" xr2:uid="{00000000-000D-0000-FFFF-FFFF00000000}"/>
  </bookViews>
  <sheets>
    <sheet name="Bond Analytics" sheetId="2" r:id="rId1"/>
    <sheet name="Bond Portfolio" sheetId="5" r:id="rId2"/>
    <sheet name="Raw data" sheetId="3" state="hidden" r:id="rId3"/>
    <sheet name="Working Shee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 l="1"/>
  <c r="V3" i="2"/>
  <c r="W3" i="2"/>
  <c r="AK3" i="2" s="1"/>
  <c r="Z3" i="2"/>
  <c r="AF3" i="2"/>
  <c r="AH3" i="2"/>
  <c r="X3" i="2" s="1"/>
  <c r="AI3" i="2"/>
  <c r="AJ3" i="2"/>
  <c r="C18" i="5"/>
  <c r="C17" i="5"/>
  <c r="B18" i="5"/>
  <c r="B17" i="5"/>
  <c r="B13" i="5"/>
  <c r="B12" i="5"/>
  <c r="B11" i="5"/>
  <c r="B10" i="5"/>
  <c r="N5" i="5"/>
  <c r="N4" i="5"/>
  <c r="N3" i="5"/>
  <c r="N2" i="5"/>
  <c r="M5" i="5"/>
  <c r="M4" i="5"/>
  <c r="M3" i="5"/>
  <c r="M2" i="5"/>
  <c r="L5" i="5"/>
  <c r="L4" i="5"/>
  <c r="L3" i="5"/>
  <c r="L2" i="5"/>
  <c r="K5" i="5"/>
  <c r="K4" i="5"/>
  <c r="K3" i="5"/>
  <c r="K2" i="5"/>
  <c r="M6" i="2"/>
  <c r="M5" i="2"/>
  <c r="M4" i="2"/>
  <c r="AI4" i="2"/>
  <c r="AB28" i="4"/>
  <c r="AJ6" i="2" s="1"/>
  <c r="T55" i="4"/>
  <c r="AJ5" i="2" s="1"/>
  <c r="AE21" i="4"/>
  <c r="W49" i="4"/>
  <c r="O16" i="4"/>
  <c r="G7" i="4"/>
  <c r="T54" i="4"/>
  <c r="AB27" i="4"/>
  <c r="L21" i="4"/>
  <c r="L22" i="4" s="1"/>
  <c r="AJ4" i="2" s="1"/>
  <c r="C13" i="4"/>
  <c r="C14" i="4" s="1"/>
  <c r="AB25" i="4"/>
  <c r="AI6" i="2" s="1"/>
  <c r="AB24" i="4"/>
  <c r="AC21" i="4"/>
  <c r="AD21" i="4"/>
  <c r="T51" i="4"/>
  <c r="T52" i="4"/>
  <c r="AI5" i="2" s="1"/>
  <c r="V49" i="4"/>
  <c r="U49" i="4"/>
  <c r="L19" i="4"/>
  <c r="L18" i="4"/>
  <c r="N16" i="4"/>
  <c r="M16" i="4"/>
  <c r="C11" i="4"/>
  <c r="C10" i="4"/>
  <c r="E7" i="4"/>
  <c r="F7" i="4"/>
  <c r="AE20" i="4"/>
  <c r="AE19" i="4"/>
  <c r="AE18" i="4"/>
  <c r="AE17" i="4"/>
  <c r="AE16" i="4"/>
  <c r="AE15" i="4"/>
  <c r="AE14" i="4"/>
  <c r="AE13" i="4"/>
  <c r="AE12" i="4"/>
  <c r="AE11" i="4"/>
  <c r="AE10" i="4"/>
  <c r="AE9" i="4"/>
  <c r="AE8" i="4"/>
  <c r="AE7" i="4"/>
  <c r="AE6" i="4"/>
  <c r="AE5" i="4"/>
  <c r="AE4" i="4"/>
  <c r="AE3" i="4"/>
  <c r="AD20" i="4"/>
  <c r="AD19" i="4"/>
  <c r="AD18" i="4"/>
  <c r="AD17" i="4"/>
  <c r="AD16" i="4"/>
  <c r="AD15" i="4"/>
  <c r="AD14" i="4"/>
  <c r="AD13" i="4"/>
  <c r="AD12" i="4"/>
  <c r="AD11" i="4"/>
  <c r="AD10" i="4"/>
  <c r="AD9" i="4"/>
  <c r="AD8" i="4"/>
  <c r="AD7" i="4"/>
  <c r="AD6" i="4"/>
  <c r="AD5" i="4"/>
  <c r="AD4" i="4"/>
  <c r="AD3" i="4"/>
  <c r="AC20" i="4"/>
  <c r="AC19" i="4"/>
  <c r="AC18" i="4"/>
  <c r="AC17" i="4"/>
  <c r="AC16" i="4"/>
  <c r="AC15" i="4"/>
  <c r="AC14" i="4"/>
  <c r="AC13" i="4"/>
  <c r="AC12" i="4"/>
  <c r="AC11" i="4"/>
  <c r="AC10" i="4"/>
  <c r="AC9" i="4"/>
  <c r="AC8" i="4"/>
  <c r="AC7" i="4"/>
  <c r="AC6" i="4"/>
  <c r="AC5" i="4"/>
  <c r="AC4" i="4"/>
  <c r="AC3" i="4"/>
  <c r="AB5" i="4"/>
  <c r="AB6" i="4" s="1"/>
  <c r="AB7" i="4" s="1"/>
  <c r="AB8" i="4" s="1"/>
  <c r="AB9" i="4" s="1"/>
  <c r="AB10" i="4" s="1"/>
  <c r="AB11" i="4" s="1"/>
  <c r="AB12" i="4" s="1"/>
  <c r="AB13" i="4" s="1"/>
  <c r="AB14" i="4" s="1"/>
  <c r="AB15" i="4" s="1"/>
  <c r="AB16" i="4" s="1"/>
  <c r="AB17" i="4" s="1"/>
  <c r="AB18" i="4" s="1"/>
  <c r="AB19" i="4" s="1"/>
  <c r="AB20" i="4" s="1"/>
  <c r="AB4" i="4"/>
  <c r="AB3"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V4" i="4"/>
  <c r="V3"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U4" i="4"/>
  <c r="U3" i="4"/>
  <c r="T5" i="4"/>
  <c r="T6" i="4" s="1"/>
  <c r="T7" i="4" s="1"/>
  <c r="T8" i="4" s="1"/>
  <c r="T9" i="4" s="1"/>
  <c r="T10" i="4" s="1"/>
  <c r="T11" i="4" s="1"/>
  <c r="T12" i="4" s="1"/>
  <c r="T13" i="4" s="1"/>
  <c r="T14" i="4" s="1"/>
  <c r="T15" i="4" s="1"/>
  <c r="T16" i="4" s="1"/>
  <c r="T17" i="4" s="1"/>
  <c r="T18" i="4" s="1"/>
  <c r="T19" i="4" s="1"/>
  <c r="T20" i="4" s="1"/>
  <c r="T21" i="4" s="1"/>
  <c r="T22" i="4" s="1"/>
  <c r="T23" i="4" s="1"/>
  <c r="T24" i="4" s="1"/>
  <c r="T25" i="4" s="1"/>
  <c r="T26" i="4" s="1"/>
  <c r="T27" i="4" s="1"/>
  <c r="T28" i="4" s="1"/>
  <c r="T29" i="4" s="1"/>
  <c r="T30" i="4" s="1"/>
  <c r="T31" i="4" s="1"/>
  <c r="T32" i="4" s="1"/>
  <c r="T33" i="4" s="1"/>
  <c r="T34" i="4" s="1"/>
  <c r="T35" i="4" s="1"/>
  <c r="T36" i="4" s="1"/>
  <c r="T37" i="4" s="1"/>
  <c r="T38" i="4" s="1"/>
  <c r="T39" i="4" s="1"/>
  <c r="T40" i="4" s="1"/>
  <c r="T41" i="4" s="1"/>
  <c r="T42" i="4" s="1"/>
  <c r="T43" i="4" s="1"/>
  <c r="T44" i="4" s="1"/>
  <c r="T45" i="4" s="1"/>
  <c r="T46" i="4" s="1"/>
  <c r="T47" i="4" s="1"/>
  <c r="T48" i="4" s="1"/>
  <c r="T4" i="4"/>
  <c r="T3" i="4"/>
  <c r="O15" i="4"/>
  <c r="O14" i="4"/>
  <c r="O13" i="4"/>
  <c r="O12" i="4"/>
  <c r="O11" i="4"/>
  <c r="O10" i="4"/>
  <c r="O9" i="4"/>
  <c r="O8" i="4"/>
  <c r="O7" i="4"/>
  <c r="O6" i="4"/>
  <c r="O5" i="4"/>
  <c r="O4" i="4"/>
  <c r="O3" i="4"/>
  <c r="N15" i="4"/>
  <c r="N14" i="4"/>
  <c r="N13" i="4"/>
  <c r="N12" i="4"/>
  <c r="N11" i="4"/>
  <c r="N10" i="4"/>
  <c r="N9" i="4"/>
  <c r="N8" i="4"/>
  <c r="N7" i="4"/>
  <c r="N6" i="4"/>
  <c r="N5" i="4"/>
  <c r="N4" i="4"/>
  <c r="N3" i="4"/>
  <c r="M15" i="4"/>
  <c r="M14" i="4"/>
  <c r="M13" i="4"/>
  <c r="M12" i="4"/>
  <c r="M11" i="4"/>
  <c r="M10" i="4"/>
  <c r="M9" i="4"/>
  <c r="M8" i="4"/>
  <c r="M7" i="4"/>
  <c r="M6" i="4"/>
  <c r="M5" i="4"/>
  <c r="M4" i="4"/>
  <c r="M3" i="4"/>
  <c r="L5" i="4"/>
  <c r="L6" i="4" s="1"/>
  <c r="L7" i="4" s="1"/>
  <c r="L8" i="4" s="1"/>
  <c r="L9" i="4" s="1"/>
  <c r="L10" i="4" s="1"/>
  <c r="L11" i="4" s="1"/>
  <c r="L12" i="4" s="1"/>
  <c r="L13" i="4" s="1"/>
  <c r="L14" i="4" s="1"/>
  <c r="L15" i="4" s="1"/>
  <c r="L4" i="4"/>
  <c r="L3" i="4"/>
  <c r="G6" i="4"/>
  <c r="G5" i="4"/>
  <c r="G4" i="4"/>
  <c r="G3" i="4"/>
  <c r="F6" i="4"/>
  <c r="F5" i="4"/>
  <c r="F4" i="4"/>
  <c r="F3" i="4"/>
  <c r="E6" i="4"/>
  <c r="E5" i="4"/>
  <c r="E4" i="4"/>
  <c r="E3" i="4"/>
  <c r="D6" i="4"/>
  <c r="D5" i="4"/>
  <c r="D4" i="4"/>
  <c r="D3" i="4"/>
  <c r="Z6" i="2"/>
  <c r="Z5" i="2"/>
  <c r="Z4" i="2"/>
  <c r="AH4" i="2"/>
  <c r="X4" i="2" s="1"/>
  <c r="AH6" i="2"/>
  <c r="X6" i="2" s="1"/>
  <c r="AH5" i="2"/>
  <c r="X5" i="2" s="1"/>
  <c r="AE5" i="2" s="1"/>
  <c r="V6" i="2"/>
  <c r="N6" i="2" s="1"/>
  <c r="V5" i="2"/>
  <c r="N5" i="2" s="1"/>
  <c r="V4" i="2"/>
  <c r="N4" i="2" s="1"/>
  <c r="T6" i="2"/>
  <c r="W6" i="2" s="1"/>
  <c r="T5" i="2"/>
  <c r="W5" i="2" s="1"/>
  <c r="T4" i="2"/>
  <c r="W4" i="2" s="1"/>
  <c r="Y3" i="2" l="1"/>
  <c r="AE3" i="2"/>
  <c r="AG3" i="2" s="1"/>
  <c r="AL3" i="2"/>
  <c r="AL4" i="2"/>
  <c r="AL5" i="2"/>
  <c r="AE6" i="2"/>
  <c r="AL6" i="2"/>
  <c r="AK4" i="2"/>
  <c r="AK5" i="2"/>
  <c r="AK6" i="2"/>
  <c r="AF6" i="2"/>
  <c r="AE4" i="2"/>
  <c r="AF4" i="2"/>
  <c r="AF5" i="2"/>
  <c r="AG5" i="2" s="1"/>
  <c r="Y5" i="2"/>
  <c r="Y6" i="2"/>
  <c r="Y4" i="2"/>
  <c r="AG6" i="2" l="1"/>
  <c r="AG4" i="2"/>
</calcChain>
</file>

<file path=xl/sharedStrings.xml><?xml version="1.0" encoding="utf-8"?>
<sst xmlns="http://schemas.openxmlformats.org/spreadsheetml/2006/main" count="354" uniqueCount="159">
  <si>
    <t>Bond Ticker</t>
  </si>
  <si>
    <t>CUSIP</t>
  </si>
  <si>
    <t>Company Name</t>
  </si>
  <si>
    <t>Rating</t>
  </si>
  <si>
    <t>Settlement Date</t>
  </si>
  <si>
    <t>Issue Date</t>
  </si>
  <si>
    <t>Frequency</t>
  </si>
  <si>
    <t>Call Date</t>
  </si>
  <si>
    <t>Call Price</t>
  </si>
  <si>
    <t>Recent Coupon Payment</t>
  </si>
  <si>
    <t>Next Coupon Date</t>
  </si>
  <si>
    <t>A+</t>
  </si>
  <si>
    <t>SA</t>
  </si>
  <si>
    <t>No</t>
  </si>
  <si>
    <t>A</t>
  </si>
  <si>
    <t>BB+</t>
  </si>
  <si>
    <t>Years to Maturity</t>
  </si>
  <si>
    <t xml:space="preserve">FV </t>
  </si>
  <si>
    <t>Coupon Pmt</t>
  </si>
  <si>
    <t>N</t>
  </si>
  <si>
    <t>I/Y</t>
  </si>
  <si>
    <t>PV</t>
  </si>
  <si>
    <t>t</t>
  </si>
  <si>
    <t>First Coupon Date</t>
  </si>
  <si>
    <t>Coupon Months</t>
  </si>
  <si>
    <t>Coupon</t>
  </si>
  <si>
    <t>Jul</t>
  </si>
  <si>
    <t>Jan</t>
  </si>
  <si>
    <t>June</t>
  </si>
  <si>
    <t>Dec</t>
  </si>
  <si>
    <t>May</t>
  </si>
  <si>
    <t>Nov</t>
  </si>
  <si>
    <t>July</t>
  </si>
  <si>
    <t>JPM</t>
  </si>
  <si>
    <t>JNJ</t>
  </si>
  <si>
    <t>PFE</t>
  </si>
  <si>
    <t>GMF</t>
  </si>
  <si>
    <t>Johnson &amp; Johnson</t>
  </si>
  <si>
    <t>Pfizer Inc.</t>
  </si>
  <si>
    <t>JPMorgan Chase &amp; Co.</t>
  </si>
  <si>
    <t>General Motors Financial Co.</t>
  </si>
  <si>
    <t>Moody's</t>
  </si>
  <si>
    <t>S&amp;P</t>
  </si>
  <si>
    <t>BBB</t>
  </si>
  <si>
    <t>Aaa</t>
  </si>
  <si>
    <t>AAA</t>
  </si>
  <si>
    <t>Baa2</t>
  </si>
  <si>
    <t>A1</t>
  </si>
  <si>
    <t>A2</t>
  </si>
  <si>
    <t>Amount Issued $M</t>
  </si>
  <si>
    <t>Amount Outstanding $M</t>
  </si>
  <si>
    <t>Date of Maturity</t>
  </si>
  <si>
    <t>Embedded Option</t>
  </si>
  <si>
    <t>JPMorgan Chase &amp; Co. 4.26% 17/48</t>
  </si>
  <si>
    <t>Call</t>
  </si>
  <si>
    <t>Johnson &amp; Johnson 2,95% 17/27</t>
  </si>
  <si>
    <t>US478160CE22 </t>
  </si>
  <si>
    <t>US46647PAA49</t>
  </si>
  <si>
    <t>Pfizer Inc. 1.75% 21/31</t>
  </si>
  <si>
    <t>US717081FB45 </t>
  </si>
  <si>
    <t>General Motors Financial Co. Inc. 6.1% 23/34</t>
  </si>
  <si>
    <t>US37045XEP78 </t>
  </si>
  <si>
    <t>https://www.boerse-frankfurt.de/bond/us478160ce22-johnson-johnson-2-95-17-27</t>
  </si>
  <si>
    <t xml:space="preserve">https://www.boerse-frankfurt.de/bond/us717081fb45-pfizer-inc-1-75-21-31 </t>
  </si>
  <si>
    <t xml:space="preserve">https://www.boerse-frankfurt.de/bond/us46647paa49-jpmorgan-chase-co-4-26-17-48 </t>
  </si>
  <si>
    <t>https://www.boerse-frankfurt.de/bond/us37045xep78-general-motors-financial-co-inc-6-1-23-34</t>
  </si>
  <si>
    <t>Coupan Interest rate</t>
  </si>
  <si>
    <t>Bond</t>
  </si>
  <si>
    <t>DKS 4.1 01/15/52</t>
  </si>
  <si>
    <t>253393AG7</t>
  </si>
  <si>
    <t>Dick's Sporting Goods</t>
  </si>
  <si>
    <t>F 3 1/4 02/12/2032</t>
  </si>
  <si>
    <t>345370DA5</t>
  </si>
  <si>
    <t>Ford Motor Company</t>
  </si>
  <si>
    <t>AAPL 1.8 09/11/24</t>
  </si>
  <si>
    <t>037833DM9</t>
  </si>
  <si>
    <t>Apple Inc</t>
  </si>
  <si>
    <t>CAT 1.7 01/08/27</t>
  </si>
  <si>
    <t>14913R2U0</t>
  </si>
  <si>
    <t xml:space="preserve">Caterpillar Finl Service </t>
  </si>
  <si>
    <t>BK 2 1/2 01/26/32</t>
  </si>
  <si>
    <t>06406RBB2</t>
  </si>
  <si>
    <t>Bank of NY Mellon Corp</t>
  </si>
  <si>
    <t>DELL 6.2 07/15/30</t>
  </si>
  <si>
    <t>24703TAH9</t>
  </si>
  <si>
    <t>Dell International LLC</t>
  </si>
  <si>
    <t>Embeded Option</t>
  </si>
  <si>
    <t>Coupon Freq</t>
  </si>
  <si>
    <t>Annual YTM</t>
  </si>
  <si>
    <t>BBB -</t>
  </si>
  <si>
    <t>AA+</t>
  </si>
  <si>
    <t>Coupon Frequency</t>
  </si>
  <si>
    <t>Closing Price of Bond</t>
  </si>
  <si>
    <t>March/September</t>
  </si>
  <si>
    <t>February/August</t>
  </si>
  <si>
    <t>August/February</t>
  </si>
  <si>
    <t>January/July</t>
  </si>
  <si>
    <t>Flat Price</t>
  </si>
  <si>
    <t>Accrued Interest</t>
  </si>
  <si>
    <t>Full Price</t>
  </si>
  <si>
    <t>Modified Duration</t>
  </si>
  <si>
    <t>Convexity</t>
  </si>
  <si>
    <t>YTM+100</t>
  </si>
  <si>
    <t>YTM-100</t>
  </si>
  <si>
    <t>Period (t)</t>
  </si>
  <si>
    <t>Cash Flow</t>
  </si>
  <si>
    <t>Discount Factor</t>
  </si>
  <si>
    <t>PV of Cash Flow</t>
  </si>
  <si>
    <t>t × PV</t>
  </si>
  <si>
    <t>t(t+1) × PV</t>
  </si>
  <si>
    <t>D_Mac</t>
  </si>
  <si>
    <t>D_Mod</t>
  </si>
  <si>
    <t>1+I/Y</t>
  </si>
  <si>
    <t>Sum</t>
  </si>
  <si>
    <t>(1+I/Y)2</t>
  </si>
  <si>
    <t>Price if YTM+100</t>
  </si>
  <si>
    <t>Price if YTM-100</t>
  </si>
  <si>
    <t>Source</t>
  </si>
  <si>
    <t>Bonds</t>
  </si>
  <si>
    <t>Assumptions</t>
  </si>
  <si>
    <t>All calculations are based on Actual, Actual Day count</t>
  </si>
  <si>
    <t>All calculations are done based on FV=100</t>
  </si>
  <si>
    <t>Rounded Off assuming if there is partial period bond still pays full coupan for it.</t>
  </si>
  <si>
    <t>Next Call Date</t>
  </si>
  <si>
    <t>Call Price(Par)</t>
  </si>
  <si>
    <t>All bonds are callable at par value=100</t>
  </si>
  <si>
    <t>YTC</t>
  </si>
  <si>
    <t>NA</t>
  </si>
  <si>
    <t>Number of periods to call</t>
  </si>
  <si>
    <t>Not able to calculate YTC as bond is already called off</t>
  </si>
  <si>
    <t>Face Value (FV)</t>
  </si>
  <si>
    <t>Flat Price (Market Price)</t>
  </si>
  <si>
    <t>Coupon %</t>
  </si>
  <si>
    <t>YTM %</t>
  </si>
  <si>
    <t>Modified Duration (years)</t>
  </si>
  <si>
    <t>Convexity (years^2)</t>
  </si>
  <si>
    <t>Allocation $</t>
  </si>
  <si>
    <t>Weight</t>
  </si>
  <si>
    <t>Coupon Payment</t>
  </si>
  <si>
    <t>Weighted Coupon Contribution</t>
  </si>
  <si>
    <t>Weighted YTM Contribution</t>
  </si>
  <si>
    <t>Weighted Duration Contribution</t>
  </si>
  <si>
    <t>Weighted Convexity Contribution</t>
  </si>
  <si>
    <t>Metric</t>
  </si>
  <si>
    <t>Value</t>
  </si>
  <si>
    <t>Portfolio Average Coupon (%)</t>
  </si>
  <si>
    <t>Portfolio YTM (%)</t>
  </si>
  <si>
    <t>Portfolio Modified Duration (years)</t>
  </si>
  <si>
    <t>Portfolio Convexity (years^2)</t>
  </si>
  <si>
    <t>Change in Portfolio if 100bps shift upwards</t>
  </si>
  <si>
    <t>Using Duration Only</t>
  </si>
  <si>
    <t>Using Duration+Convexity</t>
  </si>
  <si>
    <t>Change in Portfolio if 100bps shift Downwords</t>
  </si>
  <si>
    <t>Scenario</t>
  </si>
  <si>
    <t>Rating2</t>
  </si>
  <si>
    <t>Explain Allocation Strategy</t>
  </si>
  <si>
    <t>The portfolio allocation was designed to balance yield and risk across different credit ratings and industries. Higher weightings were given to stable investment-grade bonds like JNJ and JPM to anchor the portfolio with lower volatility, while bonds like GMF with higher yields and longer durations provided additional return potential. This allocation ensures diversification while maintaining a moderate risk profile.</t>
  </si>
  <si>
    <t>Explain Sensitivity Results</t>
  </si>
  <si>
    <t>The portfolio shows moderate sensitivity to interest rate changes, with an estimated 11.42% decrease in value if rates increase by 100 basis points and an 11.44% increase if rates decrease by the same amount. Including convexity in the analysis slightly reduces the estimated impact, as convexity accounts for the non-linear relationship between bond prices and yields. This highlights the portfolio’s balanced exposure to duration risk and its ability to cushion against extreme rate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</si>
</sst>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3" formatCode="_(* #,##0.00_);_(* \(#,##0.00\);_(* &quot;-&quot;??_);_(@_)"/>
    <numFmt numFmtId="164" formatCode="0.0000"/>
    <numFmt numFmtId="165" formatCode="0.000"/>
    <numFmt numFmtId="166" formatCode="_(* #,##0_);_(* \(#,##0\);_(* &quot;-&quot;??_);_(@_)"/>
  </numFmts>
  <fonts count="12" x14ac:knownFonts="1">
    <font>
      <sz val="11"/>
      <color theme="1"/>
      <name val="Calibri"/>
      <family val="2"/>
      <scheme val="minor"/>
    </font>
    <font>
      <b/>
      <sz val="11"/>
      <color theme="1"/>
      <name val="Calibri"/>
      <family val="2"/>
      <scheme val="minor"/>
    </font>
    <font>
      <b/>
      <sz val="12"/>
      <color theme="1"/>
      <name val="Calibri"/>
      <scheme val="minor"/>
    </font>
    <font>
      <sz val="11"/>
      <color rgb="FF000000"/>
      <name val="Calibri"/>
      <family val="2"/>
      <scheme val="minor"/>
    </font>
    <font>
      <sz val="11"/>
      <color theme="1"/>
      <name val="Calibri"/>
      <family val="2"/>
      <scheme val="minor"/>
    </font>
    <font>
      <u/>
      <sz val="11"/>
      <color theme="10"/>
      <name val="Calibri"/>
      <family val="2"/>
      <scheme val="minor"/>
    </font>
    <font>
      <b/>
      <sz val="12"/>
      <color theme="1"/>
      <name val="Calibri"/>
      <family val="2"/>
      <scheme val="minor"/>
    </font>
    <font>
      <sz val="11.5"/>
      <color rgb="FF000000"/>
      <name val="Calibri"/>
      <family val="2"/>
      <scheme val="minor"/>
    </font>
    <font>
      <sz val="11"/>
      <color rgb="FFFFFFFF"/>
      <name val="Calibri"/>
      <family val="2"/>
      <scheme val="minor"/>
    </font>
    <font>
      <b/>
      <u/>
      <sz val="11"/>
      <color theme="1"/>
      <name val="Calibri"/>
      <family val="2"/>
      <scheme val="minor"/>
    </font>
    <font>
      <u/>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0041C4"/>
        <bgColor indexed="64"/>
      </patternFill>
    </fill>
    <fill>
      <patternFill patternType="solid">
        <fgColor rgb="FF75A3FF"/>
        <bgColor indexed="64"/>
      </patternFill>
    </fill>
    <fill>
      <patternFill patternType="solid">
        <fgColor theme="5" tint="0.79998168889431442"/>
        <bgColor indexed="64"/>
      </patternFill>
    </fill>
    <fill>
      <patternFill patternType="solid">
        <fgColor theme="4"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right style="medium">
        <color indexed="64"/>
      </right>
      <top style="medium">
        <color rgb="FF000000"/>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indexed="64"/>
      </right>
      <top/>
      <bottom style="medium">
        <color indexed="64"/>
      </bottom>
      <diagonal/>
    </border>
    <border>
      <left/>
      <right style="medium">
        <color rgb="FF000000"/>
      </right>
      <top/>
      <bottom style="medium">
        <color indexed="64"/>
      </bottom>
      <diagonal/>
    </border>
    <border>
      <left/>
      <right style="medium">
        <color indexed="64"/>
      </right>
      <top/>
      <bottom/>
      <diagonal/>
    </border>
    <border>
      <left/>
      <right style="medium">
        <color rgb="FF000000"/>
      </right>
      <top/>
      <bottom/>
      <diagonal/>
    </border>
    <border>
      <left style="medium">
        <color indexed="64"/>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medium">
        <color indexed="64"/>
      </right>
      <top/>
      <bottom style="medium">
        <color indexed="64"/>
      </bottom>
      <diagonal/>
    </border>
    <border>
      <left style="medium">
        <color rgb="FF000000"/>
      </left>
      <right style="medium">
        <color indexed="64"/>
      </right>
      <top/>
      <bottom/>
      <diagonal/>
    </border>
    <border>
      <left style="medium">
        <color rgb="FF000000"/>
      </left>
      <right style="medium">
        <color indexed="64"/>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cellStyleXfs>
  <cellXfs count="103">
    <xf numFmtId="0" fontId="0" fillId="0" borderId="0" xfId="0"/>
    <xf numFmtId="0" fontId="0" fillId="0" borderId="1" xfId="0" applyBorder="1"/>
    <xf numFmtId="14" fontId="3" fillId="0" borderId="3" xfId="0" applyNumberFormat="1" applyFont="1" applyBorder="1" applyAlignment="1">
      <alignment horizontal="center" vertical="center"/>
    </xf>
    <xf numFmtId="0" fontId="3" fillId="0" borderId="3" xfId="0" applyFont="1" applyBorder="1" applyAlignment="1">
      <alignment horizontal="center" vertical="center"/>
    </xf>
    <xf numFmtId="10" fontId="3" fillId="0" borderId="3" xfId="0" applyNumberFormat="1" applyFont="1" applyBorder="1" applyAlignment="1">
      <alignment horizontal="center" vertical="center"/>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xf>
    <xf numFmtId="10" fontId="3" fillId="0" borderId="4" xfId="0" applyNumberFormat="1" applyFont="1" applyBorder="1" applyAlignment="1">
      <alignment horizontal="center" vertic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4" fontId="3" fillId="0" borderId="7" xfId="0"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wrapText="1"/>
    </xf>
    <xf numFmtId="14" fontId="0" fillId="0" borderId="0" xfId="0" applyNumberFormat="1"/>
    <xf numFmtId="0" fontId="1" fillId="0" borderId="0" xfId="0" applyFont="1"/>
    <xf numFmtId="2" fontId="0" fillId="0" borderId="0" xfId="0" applyNumberFormat="1"/>
    <xf numFmtId="0" fontId="3" fillId="0" borderId="12" xfId="0" applyFont="1" applyBorder="1" applyAlignment="1">
      <alignment horizontal="center" vertical="center"/>
    </xf>
    <xf numFmtId="10" fontId="3" fillId="0" borderId="5" xfId="0" applyNumberFormat="1" applyFont="1" applyBorder="1" applyAlignment="1">
      <alignment horizontal="center" vertical="center"/>
    </xf>
    <xf numFmtId="0" fontId="3" fillId="0" borderId="13" xfId="0" applyFont="1" applyBorder="1" applyAlignment="1">
      <alignment horizontal="center" vertical="center"/>
    </xf>
    <xf numFmtId="10" fontId="3" fillId="0" borderId="7" xfId="0" applyNumberFormat="1" applyFont="1" applyBorder="1" applyAlignment="1">
      <alignment horizontal="center" vertical="center"/>
    </xf>
    <xf numFmtId="0" fontId="7" fillId="0" borderId="0" xfId="0" applyFont="1" applyAlignment="1">
      <alignment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3" borderId="1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5" xfId="0" applyFont="1" applyFill="1" applyBorder="1" applyAlignment="1">
      <alignment vertical="center"/>
    </xf>
    <xf numFmtId="0" fontId="8" fillId="2" borderId="14"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15" xfId="0" applyFont="1" applyFill="1" applyBorder="1" applyAlignment="1">
      <alignment horizontal="center" vertical="center"/>
    </xf>
    <xf numFmtId="164" fontId="0" fillId="0" borderId="0" xfId="0" applyNumberFormat="1"/>
    <xf numFmtId="0" fontId="0" fillId="4" borderId="0" xfId="0" applyFill="1"/>
    <xf numFmtId="0" fontId="1" fillId="0" borderId="1" xfId="0" applyFont="1" applyBorder="1" applyAlignment="1">
      <alignment horizontal="center" vertical="top"/>
    </xf>
    <xf numFmtId="0" fontId="9" fillId="0" borderId="1" xfId="0" applyFont="1" applyBorder="1" applyAlignment="1">
      <alignment horizontal="center" vertical="top"/>
    </xf>
    <xf numFmtId="164" fontId="0" fillId="0" borderId="1" xfId="0" applyNumberFormat="1" applyBorder="1"/>
    <xf numFmtId="165" fontId="0" fillId="0" borderId="1" xfId="0" applyNumberFormat="1" applyBorder="1"/>
    <xf numFmtId="0" fontId="9" fillId="0" borderId="1" xfId="0" applyFont="1" applyBorder="1" applyAlignment="1">
      <alignment horizontal="center" vertical="top" wrapText="1"/>
    </xf>
    <xf numFmtId="164" fontId="9" fillId="0" borderId="0" xfId="0" applyNumberFormat="1" applyFont="1"/>
    <xf numFmtId="165" fontId="9" fillId="0" borderId="0" xfId="0" applyNumberFormat="1" applyFont="1"/>
    <xf numFmtId="0" fontId="1" fillId="0" borderId="1" xfId="0" applyFont="1" applyBorder="1"/>
    <xf numFmtId="165" fontId="1" fillId="0" borderId="1" xfId="0" applyNumberFormat="1" applyFont="1" applyBorder="1"/>
    <xf numFmtId="164" fontId="1" fillId="0" borderId="1" xfId="0" applyNumberFormat="1" applyFont="1" applyBorder="1"/>
    <xf numFmtId="2" fontId="1" fillId="0" borderId="1" xfId="0" applyNumberFormat="1" applyFont="1" applyBorder="1"/>
    <xf numFmtId="2" fontId="0" fillId="0" borderId="1" xfId="0" applyNumberFormat="1" applyBorder="1"/>
    <xf numFmtId="10" fontId="0" fillId="0" borderId="1" xfId="2" applyNumberFormat="1" applyFont="1" applyBorder="1"/>
    <xf numFmtId="10" fontId="0" fillId="0" borderId="1" xfId="2"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10" fillId="0" borderId="1" xfId="3" applyFont="1" applyBorder="1" applyAlignment="1">
      <alignment horizontal="center" vertical="center" wrapText="1"/>
    </xf>
    <xf numFmtId="10" fontId="10" fillId="0" borderId="1" xfId="3" applyNumberFormat="1" applyFont="1" applyBorder="1" applyAlignment="1">
      <alignment horizontal="center" vertical="center" wrapText="1"/>
    </xf>
    <xf numFmtId="8"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0" fontId="10" fillId="0" borderId="1" xfId="2"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11" fillId="0" borderId="0" xfId="0" applyFont="1" applyAlignment="1">
      <alignment horizontal="left" vertical="center"/>
    </xf>
    <xf numFmtId="0" fontId="0" fillId="5" borderId="1" xfId="0" applyFill="1" applyBorder="1" applyAlignment="1">
      <alignment horizontal="center" vertical="center"/>
    </xf>
    <xf numFmtId="0" fontId="0" fillId="5" borderId="0" xfId="0" applyFill="1"/>
    <xf numFmtId="10" fontId="0" fillId="0" borderId="1" xfId="0" applyNumberFormat="1" applyBorder="1" applyAlignment="1">
      <alignment horizontal="center" vertical="center"/>
    </xf>
    <xf numFmtId="0" fontId="1" fillId="0" borderId="1" xfId="0" applyFont="1" applyBorder="1" applyAlignment="1">
      <alignment horizontal="center" vertical="top" wrapText="1"/>
    </xf>
    <xf numFmtId="1" fontId="0" fillId="0" borderId="1" xfId="0" applyNumberFormat="1" applyBorder="1" applyAlignment="1">
      <alignment horizontal="center" vertical="center"/>
    </xf>
    <xf numFmtId="0" fontId="0" fillId="0" borderId="1" xfId="0" applyBorder="1" applyAlignment="1">
      <alignment wrapText="1"/>
    </xf>
    <xf numFmtId="166" fontId="0" fillId="0" borderId="1" xfId="1" applyNumberFormat="1" applyFont="1" applyBorder="1" applyAlignment="1">
      <alignment wrapText="1"/>
    </xf>
    <xf numFmtId="2" fontId="0" fillId="0" borderId="1" xfId="0" applyNumberFormat="1" applyBorder="1" applyAlignment="1">
      <alignment wrapText="1"/>
    </xf>
    <xf numFmtId="0" fontId="1" fillId="0" borderId="1" xfId="0" applyFont="1" applyBorder="1" applyAlignment="1">
      <alignment horizontal="center" vertical="center"/>
    </xf>
    <xf numFmtId="0" fontId="0" fillId="0" borderId="11" xfId="0" applyBorder="1" applyAlignment="1">
      <alignment horizontal="center" vertical="center"/>
    </xf>
    <xf numFmtId="8" fontId="0" fillId="0" borderId="10" xfId="0" applyNumberFormat="1"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14" fontId="0" fillId="0" borderId="18" xfId="0" applyNumberFormat="1" applyBorder="1" applyAlignment="1">
      <alignment horizontal="center" vertical="center" wrapText="1"/>
    </xf>
    <xf numFmtId="1" fontId="0" fillId="0" borderId="18" xfId="0" applyNumberFormat="1" applyBorder="1" applyAlignment="1">
      <alignment horizontal="center" vertical="center"/>
    </xf>
    <xf numFmtId="10" fontId="0" fillId="0" borderId="18" xfId="0" applyNumberFormat="1" applyBorder="1" applyAlignment="1">
      <alignment horizontal="center" vertical="center"/>
    </xf>
    <xf numFmtId="0" fontId="10" fillId="0" borderId="18" xfId="3" applyFont="1" applyBorder="1" applyAlignment="1">
      <alignment horizontal="center" vertical="center" wrapText="1"/>
    </xf>
    <xf numFmtId="10" fontId="10" fillId="0" borderId="18" xfId="3" applyNumberFormat="1" applyFont="1" applyBorder="1" applyAlignment="1">
      <alignment horizontal="center" vertical="center" wrapText="1"/>
    </xf>
    <xf numFmtId="14" fontId="0" fillId="0" borderId="18" xfId="0" applyNumberFormat="1" applyBorder="1" applyAlignment="1">
      <alignment horizontal="center" vertical="center"/>
    </xf>
    <xf numFmtId="2" fontId="0" fillId="0" borderId="18" xfId="0" applyNumberFormat="1" applyBorder="1" applyAlignment="1">
      <alignment horizontal="center" vertical="center"/>
    </xf>
    <xf numFmtId="10" fontId="0" fillId="0" borderId="18" xfId="2" applyNumberFormat="1" applyFont="1" applyBorder="1" applyAlignment="1">
      <alignment horizontal="center" vertical="center"/>
    </xf>
    <xf numFmtId="8" fontId="0" fillId="0" borderId="18" xfId="0" applyNumberFormat="1" applyBorder="1" applyAlignment="1">
      <alignment horizontal="center" vertical="center"/>
    </xf>
    <xf numFmtId="165" fontId="0" fillId="0" borderId="18" xfId="0" applyNumberFormat="1" applyBorder="1" applyAlignment="1">
      <alignment horizontal="center" vertical="center"/>
    </xf>
    <xf numFmtId="10" fontId="10" fillId="0" borderId="18" xfId="2" applyNumberFormat="1" applyFont="1" applyBorder="1" applyAlignment="1">
      <alignment horizontal="center" vertical="center" wrapText="1"/>
    </xf>
    <xf numFmtId="8" fontId="0" fillId="0" borderId="22" xfId="0" applyNumberFormat="1" applyBorder="1" applyAlignment="1">
      <alignment horizontal="center" vertical="center"/>
    </xf>
    <xf numFmtId="0" fontId="2" fillId="0" borderId="19" xfId="0" applyFont="1" applyBorder="1" applyAlignment="1">
      <alignment horizontal="center" vertical="center"/>
    </xf>
    <xf numFmtId="0" fontId="2"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9" xfId="0" applyFont="1" applyBorder="1" applyAlignment="1">
      <alignment horizontal="center" vertical="center"/>
    </xf>
    <xf numFmtId="0" fontId="2" fillId="0" borderId="21" xfId="0" applyFont="1" applyBorder="1" applyAlignment="1">
      <alignment horizontal="center" vertical="center"/>
    </xf>
    <xf numFmtId="0" fontId="2" fillId="0" borderId="23" xfId="0" applyFont="1" applyBorder="1" applyAlignment="1">
      <alignment horizontal="center" vertical="center" wrapText="1"/>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5" xfId="0" applyFont="1" applyBorder="1" applyAlignment="1">
      <alignment horizontal="center" vertical="center" wrapText="1"/>
    </xf>
    <xf numFmtId="0" fontId="2" fillId="0" borderId="23" xfId="0" applyFont="1" applyBorder="1" applyAlignment="1">
      <alignment horizontal="center" vertical="center"/>
    </xf>
    <xf numFmtId="0" fontId="6" fillId="0" borderId="25" xfId="0" applyFont="1" applyBorder="1" applyAlignment="1">
      <alignment horizontal="center" vertical="center" wrapText="1"/>
    </xf>
    <xf numFmtId="0" fontId="6" fillId="0" borderId="25" xfId="0" applyFont="1" applyBorder="1" applyAlignment="1">
      <alignment horizontal="center" vertical="center"/>
    </xf>
    <xf numFmtId="0" fontId="2" fillId="0" borderId="26" xfId="0" applyFont="1" applyBorder="1" applyAlignment="1">
      <alignment horizontal="center" vertical="center" wrapText="1"/>
    </xf>
    <xf numFmtId="0" fontId="6" fillId="0" borderId="21" xfId="0" applyFont="1" applyBorder="1" applyAlignment="1">
      <alignment horizontal="center" vertical="center"/>
    </xf>
    <xf numFmtId="0" fontId="3" fillId="3" borderId="9" xfId="0" applyFont="1" applyFill="1" applyBorder="1" applyAlignment="1">
      <alignment horizontal="center" vertical="center"/>
    </xf>
    <xf numFmtId="0" fontId="3" fillId="3" borderId="6"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vertical="top" wrapText="1"/>
    </xf>
  </cellXfs>
  <cellStyles count="4">
    <cellStyle name="Comma" xfId="1" builtinId="3"/>
    <cellStyle name="Hyperlink" xfId="3" builtinId="8"/>
    <cellStyle name="Normal" xfId="0" builtinId="0"/>
    <cellStyle name="Percent" xfId="2" builtinId="5"/>
  </cellStyles>
  <dxfs count="41">
    <dxf>
      <numFmt numFmtId="12" formatCode="&quot;$&quot;#,##0.00_);[Red]\(&quot;$&quot;#,##0.00\)"/>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numFmt numFmtId="12" formatCode="&quot;$&quot;#,##0.00_);[Red]\(&quot;$&quot;#,##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5" formatCode="0.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5" formatCode="0.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1"/>
        <color theme="1"/>
        <name val="Calibri"/>
        <family val="2"/>
        <scheme val="minor"/>
      </font>
      <numFmt numFmtId="14"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2" formatCode="&quot;$&quot;#,##0.00_);[Red]\(&quot;$&quot;#,##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5" formatCode="0.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2" formatCode="&quot;$&quot;#,##0.00_);[Red]\(&quot;$&quot;#,##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2" formatCode="&quot;$&quot;#,##0.00_);[Red]\(&quot;$&quot;#,##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1"/>
        <color theme="1"/>
        <name val="Calibri"/>
        <family val="2"/>
        <scheme val="minor"/>
      </font>
      <numFmt numFmtId="14"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167" formatCode="m/d/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B78A4F-2F26-4DAD-91FB-66D5868F3304}" name="Table4" displayName="Table4" ref="A1:AL6" totalsRowShown="0" headerRowDxfId="40" dataDxfId="39" tableBorderDxfId="38">
  <autoFilter ref="A1:AL6" xr:uid="{18B78A4F-2F26-4DAD-91FB-66D5868F3304}"/>
  <tableColumns count="38">
    <tableColumn id="1" xr3:uid="{01113B74-4EAD-4DDF-AA6C-345F0ECE482E}" name="Bond Ticker" dataDxfId="37"/>
    <tableColumn id="2" xr3:uid="{0C7E3735-6CDB-4CF3-B608-13342E019598}" name="CUSIP" dataDxfId="36"/>
    <tableColumn id="3" xr3:uid="{5F71D31E-008C-414F-859A-F05A36E49ED4}" name="Company Name" dataDxfId="35"/>
    <tableColumn id="4" xr3:uid="{F3308145-6A20-4827-A5E3-0948E7C75B6A}" name="Rating" dataDxfId="34"/>
    <tableColumn id="5" xr3:uid="{E2567E0C-0924-42BE-8838-CB47A1354D51}" name="Rating2" dataDxfId="33"/>
    <tableColumn id="6" xr3:uid="{0250020F-4A35-4AFA-8287-3AED74EF6FBF}" name="Amount Issued $M" dataDxfId="32"/>
    <tableColumn id="7" xr3:uid="{1C8A9B90-855B-49D5-98BB-27C1D55D4D86}" name="Amount Outstanding $M" dataDxfId="31"/>
    <tableColumn id="8" xr3:uid="{30DB2ABD-599C-4E69-A4D3-608DE7A1A14B}" name="Issue Date" dataDxfId="30"/>
    <tableColumn id="9" xr3:uid="{50663EE1-9541-4732-919A-70649C7BC0C8}" name="Date of Maturity" dataDxfId="29"/>
    <tableColumn id="10" xr3:uid="{BAF6A180-0B1A-4739-9027-76FCF310460C}" name="Embedded Option" dataDxfId="28"/>
    <tableColumn id="11" xr3:uid="{F97A6162-A319-4256-92FA-DC79FE423040}" name="Next Call Date" dataDxfId="27"/>
    <tableColumn id="12" xr3:uid="{7E14BCE3-67DF-457F-83B8-03C5D507967C}" name="Call Price(Par)" dataDxfId="26"/>
    <tableColumn id="13" xr3:uid="{1FBC7CF1-23B7-4392-8B2B-DB8A5830C300}" name="Number of periods to call" dataDxfId="25"/>
    <tableColumn id="14" xr3:uid="{CBC825DD-0FBB-4F44-A13C-DFA2E9149C3F}" name="YTC" dataDxfId="24"/>
    <tableColumn id="15" xr3:uid="{D8018C2A-CDE3-4080-B630-90CEE9BFD604}" name="Source" dataDxfId="23" dataCellStyle="Hyperlink"/>
    <tableColumn id="16" xr3:uid="{9A513184-4556-4CD2-9C35-B9410B9535E8}" name="Coupon" dataDxfId="22" dataCellStyle="Hyperlink"/>
    <tableColumn id="17" xr3:uid="{F88CFB0F-395A-4BAC-A7D8-B78EC8137C29}" name="Coupon Frequency" dataDxfId="21" dataCellStyle="Hyperlink"/>
    <tableColumn id="18" xr3:uid="{868EA7E6-5750-485C-B0CB-64F3053C6CC2}" name="Closing Price of Bond" dataDxfId="20" dataCellStyle="Hyperlink"/>
    <tableColumn id="19" xr3:uid="{7D96423C-6025-4B08-9088-D2748692FB7C}" name="Settlement Date" dataDxfId="19"/>
    <tableColumn id="20" xr3:uid="{03AC692B-D043-4E83-B9A5-0A80A58FD00E}" name="Years to Maturity" dataDxfId="18">
      <calculatedColumnFormula>YEARFRAC(S2,I2)</calculatedColumnFormula>
    </tableColumn>
    <tableColumn id="21" xr3:uid="{68490680-F457-40B6-B609-62C6553E0C33}" name="FV " dataDxfId="17"/>
    <tableColumn id="22" xr3:uid="{7F195E72-BFBF-4CC4-A214-684B2ECFA4FA}" name="Coupon Pmt" dataDxfId="16">
      <calculatedColumnFormula>U2*P2/2</calculatedColumnFormula>
    </tableColumn>
    <tableColumn id="23" xr3:uid="{1AF89B20-0A6C-48D4-949C-CF94B1D8940D}" name="N" dataDxfId="15">
      <calculatedColumnFormula>T2*Q2</calculatedColumnFormula>
    </tableColumn>
    <tableColumn id="24" xr3:uid="{C06F5895-379B-408D-BB03-9CEE8C686578}" name="I/Y" dataDxfId="14" dataCellStyle="Percent">
      <calculatedColumnFormula>AH2/2</calculatedColumnFormula>
    </tableColumn>
    <tableColumn id="25" xr3:uid="{D9B0BC0A-D1E4-40EC-9C78-4243DE1B44C7}" name="PV" dataDxfId="13"/>
    <tableColumn id="26" xr3:uid="{5C9652B3-C53C-4650-8783-484572D9F53D}" name="t" dataDxfId="12">
      <calculatedColumnFormula>(S2-AC2)/(AA2-AC2)</calculatedColumnFormula>
    </tableColumn>
    <tableColumn id="27" xr3:uid="{F5B2754F-A268-4905-BE62-C45FFD3DD23A}" name="Next Coupon Date" dataDxfId="11"/>
    <tableColumn id="28" xr3:uid="{9C50A3BF-38A4-4CA1-A4F7-0B7173C27760}" name="First Coupon Date" dataDxfId="10"/>
    <tableColumn id="29" xr3:uid="{7D76123E-406A-475A-9370-7CB367670891}" name="Recent Coupon Payment" dataDxfId="9"/>
    <tableColumn id="30" xr3:uid="{5E8CD499-3481-427B-AF60-7C00EE2A3462}" name="Coupon Months" dataDxfId="8"/>
    <tableColumn id="31" xr3:uid="{FB1C3FB9-9647-42D7-9219-220BBB6BFB77}" name="Flat Price" dataDxfId="7"/>
    <tableColumn id="32" xr3:uid="{D1D0B870-6D4C-4175-9547-2F56E88B029B}" name="Accrued Interest" dataDxfId="6">
      <calculatedColumnFormula>V2*Z2</calculatedColumnFormula>
    </tableColumn>
    <tableColumn id="33" xr3:uid="{316504EE-D3F9-4543-B560-F87AB7881E66}" name="Full Price" dataDxfId="5">
      <calculatedColumnFormula>AE2+AF2</calculatedColumnFormula>
    </tableColumn>
    <tableColumn id="34" xr3:uid="{56CCB564-657B-4C9F-9E2A-4AA9E216E4DF}" name="Annual YTM" dataDxfId="4" dataCellStyle="Percent">
      <calculatedColumnFormula>YIELD(S2,I2,P2,R2,U2,2)</calculatedColumnFormula>
    </tableColumn>
    <tableColumn id="35" xr3:uid="{1B4533BD-092C-43CE-8D6D-CE402A6D4EF7}" name="Modified Duration" dataDxfId="3"/>
    <tableColumn id="36" xr3:uid="{3981546C-7F45-4BA8-BCE8-5BF8E0B69AF8}" name="Convexity" dataDxfId="2"/>
    <tableColumn id="37" xr3:uid="{A233D664-79DA-4C9E-9FD3-0BFA75F14D41}" name="Price if YTM+100" dataDxfId="1"/>
    <tableColumn id="38" xr3:uid="{B5F597E7-1E77-4EFD-9A61-BFE231DCFE95}" name="Price if YTM-100" dataDxfId="0">
      <calculatedColumnFormula>PV(C16,W2,-V2,-U2)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oerse-frankfurt.de/bond/us37045xep78-general-motors-financial-co-inc-6-1-23-34" TargetMode="External"/><Relationship Id="rId2" Type="http://schemas.openxmlformats.org/officeDocument/2006/relationships/hyperlink" Target="https://www.boerse-frankfurt.de/bond/us46647paa49-jpmorgan-chase-co-4-26-17-48" TargetMode="External"/><Relationship Id="rId1" Type="http://schemas.openxmlformats.org/officeDocument/2006/relationships/hyperlink" Target="https://www.boerse-frankfurt.de/bond/us717081fb45-pfizer-inc-1-75-21-31" TargetMode="External"/><Relationship Id="rId5" Type="http://schemas.openxmlformats.org/officeDocument/2006/relationships/table" Target="../tables/table1.xml"/><Relationship Id="rId4" Type="http://schemas.openxmlformats.org/officeDocument/2006/relationships/hyperlink" Target="https://www.boerse-frankfurt.de/bond/us478160ce22-johnson-johnson-2-95-17-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7ECB-49B0-4F70-90D7-58A1310432A8}">
  <dimension ref="A1:AL20"/>
  <sheetViews>
    <sheetView topLeftCell="A4" zoomScale="108" zoomScaleNormal="100" workbookViewId="0">
      <selection activeCell="C4" sqref="C4"/>
    </sheetView>
  </sheetViews>
  <sheetFormatPr baseColWidth="10" defaultColWidth="8.83203125" defaultRowHeight="15" x14ac:dyDescent="0.2"/>
  <cols>
    <col min="1" max="1" width="30.6640625" customWidth="1"/>
    <col min="2" max="2" width="13.83203125" bestFit="1" customWidth="1"/>
    <col min="3" max="3" width="17.33203125" customWidth="1"/>
    <col min="4" max="4" width="8.6640625" customWidth="1"/>
    <col min="5" max="5" width="11" customWidth="1"/>
    <col min="6" max="6" width="20" customWidth="1"/>
    <col min="7" max="7" width="25.33203125" customWidth="1"/>
    <col min="8" max="8" width="12.1640625" customWidth="1"/>
    <col min="9" max="9" width="17.83203125" customWidth="1"/>
    <col min="10" max="10" width="19.33203125" customWidth="1"/>
    <col min="11" max="11" width="15.6640625" customWidth="1"/>
    <col min="12" max="12" width="15.5" customWidth="1"/>
    <col min="13" max="13" width="26" customWidth="1"/>
    <col min="14" max="14" width="18.33203125" customWidth="1"/>
    <col min="15" max="15" width="15.5" customWidth="1"/>
    <col min="16" max="16" width="9.83203125" customWidth="1"/>
    <col min="17" max="17" width="19.83203125" customWidth="1"/>
    <col min="18" max="18" width="21.83203125" customWidth="1"/>
    <col min="19" max="19" width="17.5" customWidth="1"/>
    <col min="20" max="20" width="18.6640625" customWidth="1"/>
    <col min="21" max="21" width="5.5" customWidth="1"/>
    <col min="22" max="22" width="14.1640625" customWidth="1"/>
    <col min="23" max="23" width="4.33203125" customWidth="1"/>
    <col min="24" max="24" width="7.5" bestFit="1" customWidth="1"/>
    <col min="25" max="25" width="8.5" bestFit="1" customWidth="1"/>
    <col min="26" max="26" width="5.83203125" bestFit="1" customWidth="1"/>
    <col min="27" max="27" width="19.33203125" customWidth="1"/>
    <col min="28" max="28" width="19.1640625" customWidth="1"/>
    <col min="29" max="29" width="25.1640625" customWidth="1"/>
    <col min="30" max="30" width="17.5" customWidth="1"/>
    <col min="31" max="31" width="11.1640625" customWidth="1"/>
    <col min="32" max="32" width="17.83203125" customWidth="1"/>
    <col min="33" max="33" width="11.1640625" customWidth="1"/>
    <col min="34" max="34" width="13.83203125" customWidth="1"/>
    <col min="35" max="35" width="19.6640625" customWidth="1"/>
    <col min="36" max="36" width="11.83203125" bestFit="1" customWidth="1"/>
    <col min="37" max="37" width="18" customWidth="1"/>
    <col min="38" max="38" width="17.5" customWidth="1"/>
  </cols>
  <sheetData>
    <row r="1" spans="1:38" ht="17" x14ac:dyDescent="0.2">
      <c r="A1" s="91" t="s">
        <v>0</v>
      </c>
      <c r="B1" s="92" t="s">
        <v>1</v>
      </c>
      <c r="C1" s="93" t="s">
        <v>2</v>
      </c>
      <c r="D1" s="94" t="s">
        <v>3</v>
      </c>
      <c r="E1" s="98" t="s">
        <v>154</v>
      </c>
      <c r="F1" s="93" t="s">
        <v>49</v>
      </c>
      <c r="G1" s="93" t="s">
        <v>50</v>
      </c>
      <c r="H1" s="92" t="s">
        <v>5</v>
      </c>
      <c r="I1" s="93" t="s">
        <v>51</v>
      </c>
      <c r="J1" s="93" t="s">
        <v>52</v>
      </c>
      <c r="K1" s="95" t="s">
        <v>123</v>
      </c>
      <c r="L1" s="95" t="s">
        <v>124</v>
      </c>
      <c r="M1" s="95" t="s">
        <v>128</v>
      </c>
      <c r="N1" s="96" t="s">
        <v>126</v>
      </c>
      <c r="O1" s="96" t="s">
        <v>117</v>
      </c>
      <c r="P1" s="92" t="s">
        <v>25</v>
      </c>
      <c r="Q1" s="93" t="s">
        <v>91</v>
      </c>
      <c r="R1" s="93" t="s">
        <v>92</v>
      </c>
      <c r="S1" s="93" t="s">
        <v>4</v>
      </c>
      <c r="T1" s="93" t="s">
        <v>16</v>
      </c>
      <c r="U1" s="92" t="s">
        <v>17</v>
      </c>
      <c r="V1" s="92" t="s">
        <v>18</v>
      </c>
      <c r="W1" s="92" t="s">
        <v>19</v>
      </c>
      <c r="X1" s="92" t="s">
        <v>20</v>
      </c>
      <c r="Y1" s="92" t="s">
        <v>21</v>
      </c>
      <c r="Z1" s="92" t="s">
        <v>22</v>
      </c>
      <c r="AA1" s="93" t="s">
        <v>10</v>
      </c>
      <c r="AB1" s="93" t="s">
        <v>23</v>
      </c>
      <c r="AC1" s="93" t="s">
        <v>9</v>
      </c>
      <c r="AD1" s="92" t="s">
        <v>24</v>
      </c>
      <c r="AE1" s="92" t="s">
        <v>97</v>
      </c>
      <c r="AF1" s="93" t="s">
        <v>98</v>
      </c>
      <c r="AG1" s="92" t="s">
        <v>99</v>
      </c>
      <c r="AH1" s="93" t="s">
        <v>88</v>
      </c>
      <c r="AI1" s="93" t="s">
        <v>100</v>
      </c>
      <c r="AJ1" s="92" t="s">
        <v>101</v>
      </c>
      <c r="AK1" s="93" t="s">
        <v>115</v>
      </c>
      <c r="AL1" s="97" t="s">
        <v>116</v>
      </c>
    </row>
    <row r="2" spans="1:38" ht="14.5" customHeight="1" x14ac:dyDescent="0.2">
      <c r="A2" s="89"/>
      <c r="B2" s="85"/>
      <c r="C2" s="86"/>
      <c r="D2" s="48" t="s">
        <v>41</v>
      </c>
      <c r="E2" s="48" t="s">
        <v>42</v>
      </c>
      <c r="F2" s="86"/>
      <c r="G2" s="86"/>
      <c r="H2" s="85"/>
      <c r="I2" s="86"/>
      <c r="J2" s="86"/>
      <c r="K2" s="86"/>
      <c r="L2" s="86"/>
      <c r="M2" s="87"/>
      <c r="N2" s="88"/>
      <c r="O2" s="85"/>
      <c r="P2" s="85"/>
      <c r="Q2" s="86"/>
      <c r="R2" s="86"/>
      <c r="S2" s="86"/>
      <c r="T2" s="86"/>
      <c r="U2" s="85"/>
      <c r="V2" s="85"/>
      <c r="W2" s="85"/>
      <c r="X2" s="85"/>
      <c r="Y2" s="85"/>
      <c r="Z2" s="85"/>
      <c r="AA2" s="86"/>
      <c r="AB2" s="86"/>
      <c r="AC2" s="86"/>
      <c r="AD2" s="85"/>
      <c r="AE2" s="85"/>
      <c r="AF2" s="86"/>
      <c r="AG2" s="85"/>
      <c r="AH2" s="86"/>
      <c r="AI2" s="86"/>
      <c r="AJ2" s="85"/>
      <c r="AK2" s="86"/>
      <c r="AL2" s="90"/>
    </row>
    <row r="3" spans="1:38" ht="96" x14ac:dyDescent="0.2">
      <c r="A3" s="68" t="s">
        <v>55</v>
      </c>
      <c r="B3" s="48" t="s">
        <v>56</v>
      </c>
      <c r="C3" s="49" t="s">
        <v>37</v>
      </c>
      <c r="D3" s="48" t="s">
        <v>44</v>
      </c>
      <c r="E3" s="48" t="s">
        <v>45</v>
      </c>
      <c r="F3" s="49">
        <v>1000</v>
      </c>
      <c r="G3" s="49">
        <v>1000</v>
      </c>
      <c r="H3" s="50">
        <v>42797</v>
      </c>
      <c r="I3" s="50">
        <v>46449</v>
      </c>
      <c r="J3" s="48" t="s">
        <v>54</v>
      </c>
      <c r="K3" s="50">
        <v>45671</v>
      </c>
      <c r="L3" s="48">
        <v>100</v>
      </c>
      <c r="M3" s="54" t="s">
        <v>127</v>
      </c>
      <c r="N3" s="59" t="s">
        <v>127</v>
      </c>
      <c r="O3" s="51" t="s">
        <v>62</v>
      </c>
      <c r="P3" s="52">
        <v>2.9499999999999998E-2</v>
      </c>
      <c r="Q3" s="51">
        <v>2</v>
      </c>
      <c r="R3" s="51">
        <v>98.07</v>
      </c>
      <c r="S3" s="50">
        <v>45772</v>
      </c>
      <c r="T3" s="54">
        <f>YEARFRAC(S3,I3)</f>
        <v>1.8555555555555556</v>
      </c>
      <c r="U3" s="48">
        <v>100</v>
      </c>
      <c r="V3" s="48">
        <f>U3*P3/2</f>
        <v>1.4749999999999999</v>
      </c>
      <c r="W3" s="63">
        <f>T3*Q3</f>
        <v>3.7111111111111112</v>
      </c>
      <c r="X3" s="47">
        <f>AH3/2</f>
        <v>2.0191645868702437E-2</v>
      </c>
      <c r="Y3" s="53">
        <f>PV($X$3,$W$3,-$V$3,-$U$3)</f>
        <v>98.073024402567185</v>
      </c>
      <c r="Z3" s="54">
        <f>(S3-AC3)/(AA3-AC3)</f>
        <v>0.25543478260869568</v>
      </c>
      <c r="AA3" s="50">
        <v>45909</v>
      </c>
      <c r="AB3" s="50">
        <v>42803</v>
      </c>
      <c r="AC3" s="50">
        <v>45725</v>
      </c>
      <c r="AD3" s="48" t="s">
        <v>93</v>
      </c>
      <c r="AE3" s="53">
        <f>PV($X$3,$W$3,-$V$3,-$U$3)</f>
        <v>98.073024402567185</v>
      </c>
      <c r="AF3" s="55">
        <f>V3*Z3</f>
        <v>0.3767663043478261</v>
      </c>
      <c r="AG3" s="53">
        <f>AE3+AF3</f>
        <v>98.44979070691501</v>
      </c>
      <c r="AH3" s="56">
        <f>YIELD(S3,I3,P3,R3,U3,2)</f>
        <v>4.0383291737404875E-2</v>
      </c>
      <c r="AI3" s="55">
        <f>'Working Sheet'!C11</f>
        <v>3.8348273234135499</v>
      </c>
      <c r="AJ3" s="55">
        <f>'Working Sheet'!C14</f>
        <v>18.654969399020835</v>
      </c>
      <c r="AK3" s="53">
        <f>PV(B17,$W$3,-$V$3,-$U$3)</f>
        <v>94.651899008770499</v>
      </c>
      <c r="AL3" s="69">
        <f>PV(C17,W3,-V3,-U3)</f>
        <v>101.64875970766732</v>
      </c>
    </row>
    <row r="4" spans="1:38" ht="96" x14ac:dyDescent="0.2">
      <c r="A4" s="68" t="s">
        <v>58</v>
      </c>
      <c r="B4" s="48" t="s">
        <v>59</v>
      </c>
      <c r="C4" s="49" t="s">
        <v>38</v>
      </c>
      <c r="D4" s="49" t="s">
        <v>48</v>
      </c>
      <c r="E4" s="49" t="s">
        <v>14</v>
      </c>
      <c r="F4" s="49">
        <v>1000</v>
      </c>
      <c r="G4" s="49">
        <v>1000</v>
      </c>
      <c r="H4" s="57">
        <v>44426</v>
      </c>
      <c r="I4" s="57">
        <v>48078</v>
      </c>
      <c r="J4" s="49" t="s">
        <v>54</v>
      </c>
      <c r="K4" s="57">
        <v>47102</v>
      </c>
      <c r="L4" s="48">
        <v>100</v>
      </c>
      <c r="M4" s="63">
        <f>YEARFRAC(S4,K4)*2</f>
        <v>7.2777777777777777</v>
      </c>
      <c r="N4" s="61">
        <f>RATE(7,-V4,-R4,U4)*2</f>
        <v>2.8615609246141607E-2</v>
      </c>
      <c r="O4" s="51" t="s">
        <v>63</v>
      </c>
      <c r="P4" s="52">
        <v>1.7500000000000002E-2</v>
      </c>
      <c r="Q4" s="51">
        <v>2</v>
      </c>
      <c r="R4" s="51">
        <v>84.745000000000005</v>
      </c>
      <c r="S4" s="50">
        <v>45772</v>
      </c>
      <c r="T4" s="54">
        <f>YEARFRAC(S4,I4)</f>
        <v>6.3138888888888891</v>
      </c>
      <c r="U4" s="48">
        <v>100</v>
      </c>
      <c r="V4" s="48">
        <f>U4*P4/2</f>
        <v>0.87500000000000011</v>
      </c>
      <c r="W4" s="63">
        <f>T4*Q4</f>
        <v>12.627777777777778</v>
      </c>
      <c r="X4" s="47">
        <f>AH4/2</f>
        <v>2.2785794497231417E-2</v>
      </c>
      <c r="Y4" s="53">
        <f>PV($X$4,$W$4,-$V$4,-$U$4)</f>
        <v>84.747301058697957</v>
      </c>
      <c r="Z4" s="54">
        <f t="shared" ref="Z4:Z6" si="0">(S4-AC4)/(AA4-AC4)</f>
        <v>0.36464088397790057</v>
      </c>
      <c r="AA4" s="50">
        <v>45887</v>
      </c>
      <c r="AB4" s="50">
        <v>44610</v>
      </c>
      <c r="AC4" s="50">
        <v>45706</v>
      </c>
      <c r="AD4" s="48" t="s">
        <v>94</v>
      </c>
      <c r="AE4" s="53">
        <f>PV($X$4,$W$4,-$V$4,-$U$4)</f>
        <v>84.747301058697957</v>
      </c>
      <c r="AF4" s="55">
        <f t="shared" ref="AF4:AF6" si="1">V4*Z4</f>
        <v>0.31906077348066303</v>
      </c>
      <c r="AG4" s="53">
        <f t="shared" ref="AG4:AG6" si="2">AE4+AF4</f>
        <v>85.066361832178615</v>
      </c>
      <c r="AH4" s="56">
        <f>YIELD(S4,I4,P4,R4,U4,2)</f>
        <v>4.5571588994462835E-2</v>
      </c>
      <c r="AI4" s="55">
        <f>'Working Sheet'!L19</f>
        <v>11.992944870863512</v>
      </c>
      <c r="AJ4" s="55">
        <f>'Working Sheet'!L22</f>
        <v>13.126808014846244</v>
      </c>
      <c r="AK4" s="53">
        <f>PV(B18,W4,-V4,-U4)</f>
        <v>75.457459687291404</v>
      </c>
      <c r="AL4" s="69">
        <f>PV(C18,W4,-V4,-U4)</f>
        <v>95.305299585683287</v>
      </c>
    </row>
    <row r="5" spans="1:38" ht="96" x14ac:dyDescent="0.2">
      <c r="A5" s="68" t="s">
        <v>53</v>
      </c>
      <c r="B5" s="48" t="s">
        <v>57</v>
      </c>
      <c r="C5" s="49" t="s">
        <v>39</v>
      </c>
      <c r="D5" s="49" t="s">
        <v>47</v>
      </c>
      <c r="E5" s="49" t="s">
        <v>14</v>
      </c>
      <c r="F5" s="49">
        <v>2000</v>
      </c>
      <c r="G5" s="49">
        <v>2000</v>
      </c>
      <c r="H5" s="57">
        <v>42788</v>
      </c>
      <c r="I5" s="57">
        <v>54110</v>
      </c>
      <c r="J5" s="49" t="s">
        <v>54</v>
      </c>
      <c r="K5" s="57">
        <v>46590</v>
      </c>
      <c r="L5" s="48">
        <v>100</v>
      </c>
      <c r="M5" s="63">
        <f t="shared" ref="M5:M6" si="3">YEARFRAC(S5,K5)*2</f>
        <v>4.4833333333333334</v>
      </c>
      <c r="N5" s="61">
        <f>RATE(7,-V5,-R5,U5)*2</f>
        <v>1.1968863575067903E-2</v>
      </c>
      <c r="O5" s="51" t="s">
        <v>64</v>
      </c>
      <c r="P5" s="52">
        <v>4.2599999999999999E-2</v>
      </c>
      <c r="Q5" s="51">
        <v>2</v>
      </c>
      <c r="R5" s="51">
        <v>81.349999999999994</v>
      </c>
      <c r="S5" s="50">
        <v>45772</v>
      </c>
      <c r="T5" s="54">
        <f>YEARFRAC(S5,I5)</f>
        <v>22.824999999999999</v>
      </c>
      <c r="U5" s="48">
        <v>100</v>
      </c>
      <c r="V5" s="48">
        <f>U5*P5/2</f>
        <v>2.13</v>
      </c>
      <c r="W5" s="63">
        <f>T5*Q5</f>
        <v>45.65</v>
      </c>
      <c r="X5" s="47">
        <f>AH5/2</f>
        <v>2.8674739898802176E-2</v>
      </c>
      <c r="Y5" s="53">
        <f>PV($X$5,$W$5,-$V$5,-$U$5)</f>
        <v>81.356839999671223</v>
      </c>
      <c r="Z5" s="54">
        <f t="shared" si="0"/>
        <v>0.34254143646408841</v>
      </c>
      <c r="AA5" s="50">
        <v>45891</v>
      </c>
      <c r="AB5" s="50">
        <v>42969</v>
      </c>
      <c r="AC5" s="50">
        <v>45710</v>
      </c>
      <c r="AD5" s="48" t="s">
        <v>95</v>
      </c>
      <c r="AE5" s="53">
        <f>PV($X$5,$W$5,-$V$5,-$U$5)</f>
        <v>81.356839999671223</v>
      </c>
      <c r="AF5" s="55">
        <f t="shared" si="1"/>
        <v>0.72961325966850832</v>
      </c>
      <c r="AG5" s="53">
        <f t="shared" si="2"/>
        <v>82.086453259339734</v>
      </c>
      <c r="AH5" s="56">
        <f>YIELD(S5,I5,P5,R5,U5,2)</f>
        <v>5.7349479797604352E-2</v>
      </c>
      <c r="AI5" s="55">
        <f>'Working Sheet'!T52</f>
        <v>27.034128893033539</v>
      </c>
      <c r="AJ5" s="55">
        <f>'Working Sheet'!T55</f>
        <v>36.554434258950572</v>
      </c>
      <c r="AK5" s="53">
        <f>PV(B19,W5,-V5,-U5)</f>
        <v>63.135484205967721</v>
      </c>
      <c r="AL5" s="69">
        <f>PV(C19,W5,-V5,-U5)</f>
        <v>108.25744249887677</v>
      </c>
    </row>
    <row r="6" spans="1:38" ht="112" x14ac:dyDescent="0.2">
      <c r="A6" s="70" t="s">
        <v>60</v>
      </c>
      <c r="B6" s="71" t="s">
        <v>61</v>
      </c>
      <c r="C6" s="72" t="s">
        <v>40</v>
      </c>
      <c r="D6" s="72" t="s">
        <v>46</v>
      </c>
      <c r="E6" s="72" t="s">
        <v>43</v>
      </c>
      <c r="F6" s="72">
        <v>1500</v>
      </c>
      <c r="G6" s="72">
        <v>1500</v>
      </c>
      <c r="H6" s="73">
        <v>45119</v>
      </c>
      <c r="I6" s="73">
        <v>49126</v>
      </c>
      <c r="J6" s="72" t="s">
        <v>54</v>
      </c>
      <c r="K6" s="73">
        <v>45920</v>
      </c>
      <c r="L6" s="71">
        <v>100</v>
      </c>
      <c r="M6" s="74">
        <f t="shared" si="3"/>
        <v>0.80555555555555558</v>
      </c>
      <c r="N6" s="75">
        <f>RATE(7,-V6,-R6,U6)*2</f>
        <v>-6.0949607404937205E-2</v>
      </c>
      <c r="O6" s="76" t="s">
        <v>65</v>
      </c>
      <c r="P6" s="77">
        <v>6.0999999999999999E-2</v>
      </c>
      <c r="Q6" s="76">
        <v>2</v>
      </c>
      <c r="R6" s="76">
        <v>99.98</v>
      </c>
      <c r="S6" s="78">
        <v>45772</v>
      </c>
      <c r="T6" s="79">
        <f>YEARFRAC(S6,I6)</f>
        <v>9.1833333333333336</v>
      </c>
      <c r="U6" s="71">
        <v>100</v>
      </c>
      <c r="V6" s="71">
        <f>U6*P6/2</f>
        <v>3.05</v>
      </c>
      <c r="W6" s="74">
        <f>T6*Q6</f>
        <v>18.366666666666667</v>
      </c>
      <c r="X6" s="80">
        <f>AH6/2</f>
        <v>3.050672031921553E-2</v>
      </c>
      <c r="Y6" s="81">
        <f>PV($X$6,$W$6,-$V$6,-$U$6)</f>
        <v>99.990656128317895</v>
      </c>
      <c r="Z6" s="79">
        <f t="shared" si="0"/>
        <v>0.59668508287292821</v>
      </c>
      <c r="AA6" s="78">
        <v>45845</v>
      </c>
      <c r="AB6" s="78">
        <v>45480</v>
      </c>
      <c r="AC6" s="78">
        <v>45664</v>
      </c>
      <c r="AD6" s="71" t="s">
        <v>96</v>
      </c>
      <c r="AE6" s="81">
        <f>PV($X$6,$W$6,-$V$6,-$U$6)</f>
        <v>99.990656128317895</v>
      </c>
      <c r="AF6" s="82">
        <f t="shared" si="1"/>
        <v>1.8198895027624309</v>
      </c>
      <c r="AG6" s="81">
        <f t="shared" si="2"/>
        <v>101.81054563108033</v>
      </c>
      <c r="AH6" s="83">
        <f>YIELD(S6,I6,P6,R6,U6,2)</f>
        <v>6.101344063843106E-2</v>
      </c>
      <c r="AI6" s="82">
        <f>'Working Sheet'!AB25</f>
        <v>13.695553225983636</v>
      </c>
      <c r="AJ6" s="82">
        <f>'Working Sheet'!AB28</f>
        <v>16.376290296050865</v>
      </c>
      <c r="AK6" s="81">
        <f>PV(B20,W6,-V6,-U6)</f>
        <v>87.217369463711108</v>
      </c>
      <c r="AL6" s="84">
        <f>PV(C20,W6,-V6,-U6)</f>
        <v>115.17729534463994</v>
      </c>
    </row>
    <row r="7" spans="1:38" x14ac:dyDescent="0.2">
      <c r="C7" s="15"/>
      <c r="D7" s="15"/>
      <c r="E7" s="15"/>
      <c r="F7" s="15"/>
      <c r="G7" s="15"/>
      <c r="H7" s="15"/>
      <c r="I7" s="15"/>
      <c r="J7" s="15"/>
      <c r="K7" s="15"/>
      <c r="L7" s="15"/>
      <c r="M7" s="15"/>
      <c r="N7" s="15"/>
      <c r="O7" s="15"/>
      <c r="P7" s="15"/>
      <c r="Q7" s="15"/>
      <c r="R7" s="15"/>
      <c r="AH7" s="15"/>
    </row>
    <row r="9" spans="1:38" x14ac:dyDescent="0.2">
      <c r="A9" s="58" t="s">
        <v>119</v>
      </c>
    </row>
    <row r="10" spans="1:38" x14ac:dyDescent="0.2">
      <c r="A10" t="s">
        <v>120</v>
      </c>
    </row>
    <row r="11" spans="1:38" x14ac:dyDescent="0.2">
      <c r="A11" t="s">
        <v>121</v>
      </c>
      <c r="S11" s="16"/>
      <c r="T11" s="16"/>
      <c r="U11" s="18"/>
    </row>
    <row r="12" spans="1:38" x14ac:dyDescent="0.2">
      <c r="A12" s="33" t="s">
        <v>122</v>
      </c>
    </row>
    <row r="13" spans="1:38" x14ac:dyDescent="0.2">
      <c r="A13" t="s">
        <v>125</v>
      </c>
    </row>
    <row r="14" spans="1:38" x14ac:dyDescent="0.2">
      <c r="A14" s="60" t="s">
        <v>129</v>
      </c>
      <c r="S14" s="16"/>
      <c r="T14" s="16"/>
      <c r="U14" s="16"/>
    </row>
    <row r="15" spans="1:38" x14ac:dyDescent="0.2">
      <c r="U15" s="16"/>
    </row>
    <row r="16" spans="1:38" x14ac:dyDescent="0.2">
      <c r="A16" s="41" t="s">
        <v>118</v>
      </c>
      <c r="B16" s="41" t="s">
        <v>102</v>
      </c>
      <c r="C16" s="41" t="s">
        <v>103</v>
      </c>
    </row>
    <row r="17" spans="1:3" x14ac:dyDescent="0.2">
      <c r="A17" s="1" t="s">
        <v>34</v>
      </c>
      <c r="B17" s="46">
        <v>3.0200000000000001E-2</v>
      </c>
      <c r="C17" s="46">
        <v>1.0200000000000001E-2</v>
      </c>
    </row>
    <row r="18" spans="1:3" x14ac:dyDescent="0.2">
      <c r="A18" s="1" t="s">
        <v>35</v>
      </c>
      <c r="B18" s="46">
        <v>3.2800000000000003E-2</v>
      </c>
      <c r="C18" s="46">
        <v>1.2800000000000001E-2</v>
      </c>
    </row>
    <row r="19" spans="1:3" x14ac:dyDescent="0.2">
      <c r="A19" s="1" t="s">
        <v>33</v>
      </c>
      <c r="B19" s="46">
        <v>3.8600000000000002E-2</v>
      </c>
      <c r="C19" s="46">
        <v>1.8599999999999998E-2</v>
      </c>
    </row>
    <row r="20" spans="1:3" x14ac:dyDescent="0.2">
      <c r="A20" s="1" t="s">
        <v>36</v>
      </c>
      <c r="B20" s="46">
        <v>4.0500000000000001E-2</v>
      </c>
      <c r="C20" s="46">
        <v>2.0500000000000001E-2</v>
      </c>
    </row>
  </sheetData>
  <hyperlinks>
    <hyperlink ref="O4" r:id="rId1" xr:uid="{8C70D09B-E2B6-4CDF-AC4B-3259D35F51A4}"/>
    <hyperlink ref="O5" r:id="rId2" xr:uid="{F02E3B74-BC24-42F2-AB43-0E8EEB36017B}"/>
    <hyperlink ref="O6" r:id="rId3" xr:uid="{2561E326-7A4C-4C23-B1DF-455754610874}"/>
    <hyperlink ref="O3" r:id="rId4" xr:uid="{23CAA5D6-070A-4C65-BABD-3E48779EA7A7}"/>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C0258-DDAE-44ED-9AE4-F6AA1E1B7805}">
  <dimension ref="A1:N25"/>
  <sheetViews>
    <sheetView tabSelected="1" zoomScale="112" workbookViewId="0">
      <selection activeCell="B25" sqref="B25"/>
    </sheetView>
  </sheetViews>
  <sheetFormatPr baseColWidth="10" defaultColWidth="8.83203125" defaultRowHeight="15" x14ac:dyDescent="0.2"/>
  <cols>
    <col min="1" max="1" width="39.83203125" bestFit="1" customWidth="1"/>
    <col min="2" max="2" width="8.1640625" bestFit="1" customWidth="1"/>
    <col min="3" max="3" width="9.1640625" bestFit="1" customWidth="1"/>
    <col min="4" max="4" width="9.33203125" bestFit="1" customWidth="1"/>
    <col min="5" max="5" width="6.5" bestFit="1" customWidth="1"/>
    <col min="6" max="6" width="16.1640625" customWidth="1"/>
    <col min="7" max="7" width="11.33203125" customWidth="1"/>
    <col min="8" max="8" width="6.83203125" bestFit="1" customWidth="1"/>
    <col min="9" max="9" width="9.83203125" customWidth="1"/>
    <col min="10" max="10" width="12.83203125" customWidth="1"/>
    <col min="11" max="11" width="16" bestFit="1" customWidth="1"/>
    <col min="12" max="12" width="13.1640625" bestFit="1" customWidth="1"/>
    <col min="13" max="13" width="17" bestFit="1" customWidth="1"/>
    <col min="14" max="14" width="11.5" bestFit="1" customWidth="1"/>
  </cols>
  <sheetData>
    <row r="1" spans="1:14" ht="48" x14ac:dyDescent="0.2">
      <c r="A1" s="62" t="s">
        <v>67</v>
      </c>
      <c r="B1" s="62" t="s">
        <v>130</v>
      </c>
      <c r="C1" s="62" t="s">
        <v>131</v>
      </c>
      <c r="D1" s="62" t="s">
        <v>132</v>
      </c>
      <c r="E1" s="62" t="s">
        <v>133</v>
      </c>
      <c r="F1" s="62" t="s">
        <v>134</v>
      </c>
      <c r="G1" s="62" t="s">
        <v>135</v>
      </c>
      <c r="H1" s="62" t="s">
        <v>137</v>
      </c>
      <c r="I1" s="62" t="s">
        <v>136</v>
      </c>
      <c r="J1" s="62" t="s">
        <v>138</v>
      </c>
      <c r="K1" s="62" t="s">
        <v>139</v>
      </c>
      <c r="L1" s="62" t="s">
        <v>140</v>
      </c>
      <c r="M1" s="62" t="s">
        <v>141</v>
      </c>
      <c r="N1" s="62" t="s">
        <v>142</v>
      </c>
    </row>
    <row r="2" spans="1:14" ht="16" x14ac:dyDescent="0.2">
      <c r="A2" s="64" t="s">
        <v>34</v>
      </c>
      <c r="B2" s="64">
        <v>100</v>
      </c>
      <c r="C2" s="64">
        <v>98.07</v>
      </c>
      <c r="D2" s="64">
        <v>2.95</v>
      </c>
      <c r="E2" s="64">
        <v>4.04</v>
      </c>
      <c r="F2" s="64">
        <v>3.835</v>
      </c>
      <c r="G2" s="64">
        <v>4.66</v>
      </c>
      <c r="H2" s="64">
        <v>0.4</v>
      </c>
      <c r="I2" s="65">
        <v>400000</v>
      </c>
      <c r="J2" s="64">
        <v>2.95</v>
      </c>
      <c r="K2" s="64">
        <f>J2*H2</f>
        <v>1.1800000000000002</v>
      </c>
      <c r="L2" s="66">
        <f>E2*H2</f>
        <v>1.6160000000000001</v>
      </c>
      <c r="M2" s="66">
        <f>F2*H2</f>
        <v>1.534</v>
      </c>
      <c r="N2" s="66">
        <f>G2*H2</f>
        <v>1.8640000000000001</v>
      </c>
    </row>
    <row r="3" spans="1:14" ht="16" x14ac:dyDescent="0.2">
      <c r="A3" s="64" t="s">
        <v>35</v>
      </c>
      <c r="B3" s="64">
        <v>100</v>
      </c>
      <c r="C3" s="64">
        <v>84.745000000000005</v>
      </c>
      <c r="D3" s="64">
        <v>1.75</v>
      </c>
      <c r="E3" s="64">
        <v>4.5599999999999996</v>
      </c>
      <c r="F3" s="64">
        <v>11.993</v>
      </c>
      <c r="G3" s="64">
        <v>3.28</v>
      </c>
      <c r="H3" s="64">
        <v>0.2</v>
      </c>
      <c r="I3" s="65">
        <v>200000</v>
      </c>
      <c r="J3" s="64">
        <v>1.75</v>
      </c>
      <c r="K3" s="64">
        <f t="shared" ref="K3:K5" si="0">J3*H3</f>
        <v>0.35000000000000003</v>
      </c>
      <c r="L3" s="66">
        <f>E3*H3</f>
        <v>0.91199999999999992</v>
      </c>
      <c r="M3" s="66">
        <f>F3*H3</f>
        <v>2.3986000000000001</v>
      </c>
      <c r="N3" s="66">
        <f>G3*H3</f>
        <v>0.65600000000000003</v>
      </c>
    </row>
    <row r="4" spans="1:14" ht="16" x14ac:dyDescent="0.2">
      <c r="A4" s="64" t="s">
        <v>33</v>
      </c>
      <c r="B4" s="64">
        <v>100</v>
      </c>
      <c r="C4" s="64">
        <v>81.349999999999994</v>
      </c>
      <c r="D4" s="64">
        <v>4.26</v>
      </c>
      <c r="E4" s="64">
        <v>5.73</v>
      </c>
      <c r="F4" s="64">
        <v>13.696</v>
      </c>
      <c r="G4" s="64">
        <v>4.09</v>
      </c>
      <c r="H4" s="64">
        <v>0.25</v>
      </c>
      <c r="I4" s="65">
        <v>250000</v>
      </c>
      <c r="J4" s="64">
        <v>4.26</v>
      </c>
      <c r="K4" s="66">
        <f t="shared" si="0"/>
        <v>1.0649999999999999</v>
      </c>
      <c r="L4" s="66">
        <f>E4*H4</f>
        <v>1.4325000000000001</v>
      </c>
      <c r="M4" s="66">
        <f>F4*H4</f>
        <v>3.4239999999999999</v>
      </c>
      <c r="N4" s="66">
        <f>G4*H4</f>
        <v>1.0225</v>
      </c>
    </row>
    <row r="5" spans="1:14" ht="16" x14ac:dyDescent="0.2">
      <c r="A5" s="64" t="s">
        <v>36</v>
      </c>
      <c r="B5" s="64">
        <v>100</v>
      </c>
      <c r="C5" s="64">
        <v>99.98</v>
      </c>
      <c r="D5" s="64">
        <v>6.1</v>
      </c>
      <c r="E5" s="64">
        <v>6.1</v>
      </c>
      <c r="F5" s="64">
        <v>27.033999999999999</v>
      </c>
      <c r="G5" s="64">
        <v>9.14</v>
      </c>
      <c r="H5" s="64">
        <v>0.15</v>
      </c>
      <c r="I5" s="65">
        <v>150000</v>
      </c>
      <c r="J5" s="64">
        <v>6.1</v>
      </c>
      <c r="K5" s="66">
        <f t="shared" si="0"/>
        <v>0.91499999999999992</v>
      </c>
      <c r="L5" s="66">
        <f>E5*H5</f>
        <v>0.91499999999999992</v>
      </c>
      <c r="M5" s="66">
        <f>F5*H5</f>
        <v>4.0550999999999995</v>
      </c>
      <c r="N5" s="66">
        <f>G5*H5</f>
        <v>1.371</v>
      </c>
    </row>
    <row r="8" spans="1:14" x14ac:dyDescent="0.2">
      <c r="F8" t="s">
        <v>155</v>
      </c>
    </row>
    <row r="9" spans="1:14" ht="15" customHeight="1" x14ac:dyDescent="0.2">
      <c r="A9" s="34" t="s">
        <v>143</v>
      </c>
      <c r="B9" s="34" t="s">
        <v>144</v>
      </c>
      <c r="F9" s="101" t="s">
        <v>156</v>
      </c>
      <c r="G9" s="101"/>
      <c r="H9" s="101"/>
      <c r="I9" s="101"/>
      <c r="J9" s="101"/>
    </row>
    <row r="10" spans="1:14" x14ac:dyDescent="0.2">
      <c r="A10" s="1" t="s">
        <v>145</v>
      </c>
      <c r="B10" s="1">
        <f>K2+K3+K4+K5</f>
        <v>3.5100000000000002</v>
      </c>
      <c r="F10" s="101"/>
      <c r="G10" s="101"/>
      <c r="H10" s="101"/>
      <c r="I10" s="101"/>
      <c r="J10" s="101"/>
    </row>
    <row r="11" spans="1:14" x14ac:dyDescent="0.2">
      <c r="A11" s="1" t="s">
        <v>146</v>
      </c>
      <c r="B11" s="45">
        <f>L2+L3+L4+L5</f>
        <v>4.8754999999999997</v>
      </c>
      <c r="F11" s="101"/>
      <c r="G11" s="101"/>
      <c r="H11" s="101"/>
      <c r="I11" s="101"/>
      <c r="J11" s="101"/>
    </row>
    <row r="12" spans="1:14" x14ac:dyDescent="0.2">
      <c r="A12" s="1" t="s">
        <v>147</v>
      </c>
      <c r="B12" s="45">
        <f>M2+M3+M4+M5</f>
        <v>11.4117</v>
      </c>
      <c r="F12" s="101"/>
      <c r="G12" s="101"/>
      <c r="H12" s="101"/>
      <c r="I12" s="101"/>
      <c r="J12" s="101"/>
    </row>
    <row r="13" spans="1:14" x14ac:dyDescent="0.2">
      <c r="A13" s="1" t="s">
        <v>148</v>
      </c>
      <c r="B13" s="45">
        <f>N2+N3+N4+N5</f>
        <v>4.9135</v>
      </c>
      <c r="F13" s="101"/>
      <c r="G13" s="101"/>
      <c r="H13" s="101"/>
      <c r="I13" s="101"/>
      <c r="J13" s="101"/>
    </row>
    <row r="14" spans="1:14" x14ac:dyDescent="0.2">
      <c r="F14" s="101"/>
      <c r="G14" s="101"/>
      <c r="H14" s="101"/>
      <c r="I14" s="101"/>
      <c r="J14" s="101"/>
    </row>
    <row r="15" spans="1:14" x14ac:dyDescent="0.2">
      <c r="F15" s="102"/>
      <c r="G15" s="102"/>
      <c r="H15" s="102"/>
      <c r="I15" s="102"/>
      <c r="J15" s="102"/>
    </row>
    <row r="16" spans="1:14" ht="48" x14ac:dyDescent="0.2">
      <c r="A16" s="67" t="s">
        <v>153</v>
      </c>
      <c r="B16" s="14" t="s">
        <v>150</v>
      </c>
      <c r="C16" s="14" t="s">
        <v>151</v>
      </c>
      <c r="F16" s="102"/>
      <c r="G16" s="102"/>
      <c r="H16" s="102"/>
      <c r="I16" s="102"/>
      <c r="J16" s="102"/>
    </row>
    <row r="17" spans="1:10" x14ac:dyDescent="0.2">
      <c r="A17" s="1" t="s">
        <v>149</v>
      </c>
      <c r="B17" s="46">
        <f>-(B12)*0.01</f>
        <v>-0.114117</v>
      </c>
      <c r="C17" s="46">
        <f>(-B12*0.01)+(0.5*B13*(0.01^2))</f>
        <v>-0.113871325</v>
      </c>
    </row>
    <row r="18" spans="1:10" x14ac:dyDescent="0.2">
      <c r="A18" s="1" t="s">
        <v>152</v>
      </c>
      <c r="B18" s="46">
        <f>(B12)*0.01</f>
        <v>0.114117</v>
      </c>
      <c r="C18" s="46">
        <f>(B12*0.01)+(0.5*B13*(0.01^2))</f>
        <v>0.114362675</v>
      </c>
      <c r="F18" t="s">
        <v>157</v>
      </c>
    </row>
    <row r="19" spans="1:10" ht="15" customHeight="1" x14ac:dyDescent="0.2">
      <c r="F19" s="101" t="s">
        <v>158</v>
      </c>
      <c r="G19" s="101"/>
      <c r="H19" s="101"/>
      <c r="I19" s="101"/>
      <c r="J19" s="101"/>
    </row>
    <row r="20" spans="1:10" x14ac:dyDescent="0.2">
      <c r="F20" s="101"/>
      <c r="G20" s="101"/>
      <c r="H20" s="101"/>
      <c r="I20" s="101"/>
      <c r="J20" s="101"/>
    </row>
    <row r="21" spans="1:10" x14ac:dyDescent="0.2">
      <c r="F21" s="101"/>
      <c r="G21" s="101"/>
      <c r="H21" s="101"/>
      <c r="I21" s="101"/>
      <c r="J21" s="101"/>
    </row>
    <row r="22" spans="1:10" x14ac:dyDescent="0.2">
      <c r="F22" s="101"/>
      <c r="G22" s="101"/>
      <c r="H22" s="101"/>
      <c r="I22" s="101"/>
      <c r="J22" s="101"/>
    </row>
    <row r="23" spans="1:10" x14ac:dyDescent="0.2">
      <c r="F23" s="101"/>
      <c r="G23" s="101"/>
      <c r="H23" s="101"/>
      <c r="I23" s="101"/>
      <c r="J23" s="101"/>
    </row>
    <row r="24" spans="1:10" x14ac:dyDescent="0.2">
      <c r="F24" s="101"/>
      <c r="G24" s="101"/>
      <c r="H24" s="101"/>
      <c r="I24" s="101"/>
      <c r="J24" s="101"/>
    </row>
    <row r="25" spans="1:10" x14ac:dyDescent="0.2">
      <c r="F25" s="101"/>
      <c r="G25" s="101"/>
      <c r="H25" s="101"/>
      <c r="I25" s="101"/>
      <c r="J25" s="101"/>
    </row>
  </sheetData>
  <mergeCells count="2">
    <mergeCell ref="F19:J25"/>
    <mergeCell ref="F9:J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E5D8-FA6C-4766-8843-688E97B2F7C6}">
  <dimension ref="A1:T44"/>
  <sheetViews>
    <sheetView topLeftCell="J1" workbookViewId="0">
      <selection activeCell="S27" sqref="S27:T27"/>
    </sheetView>
  </sheetViews>
  <sheetFormatPr baseColWidth="10" defaultColWidth="8.83203125" defaultRowHeight="15" x14ac:dyDescent="0.2"/>
  <cols>
    <col min="2" max="2" width="10.5" bestFit="1" customWidth="1"/>
    <col min="3" max="3" width="8.33203125" bestFit="1" customWidth="1"/>
    <col min="4" max="4" width="7.33203125" bestFit="1" customWidth="1"/>
    <col min="6" max="6" width="16" bestFit="1" customWidth="1"/>
    <col min="7" max="7" width="21.6640625" bestFit="1" customWidth="1"/>
    <col min="8" max="8" width="21.1640625" bestFit="1" customWidth="1"/>
    <col min="9" max="9" width="15" bestFit="1" customWidth="1"/>
    <col min="10" max="10" width="16.83203125" bestFit="1" customWidth="1"/>
    <col min="12" max="12" width="11.33203125" bestFit="1" customWidth="1"/>
    <col min="13" max="13" width="14.83203125" bestFit="1" customWidth="1"/>
    <col min="15" max="15" width="10.5" bestFit="1" customWidth="1"/>
    <col min="17" max="17" width="16.1640625" bestFit="1" customWidth="1"/>
    <col min="18" max="18" width="22.1640625" bestFit="1" customWidth="1"/>
  </cols>
  <sheetData>
    <row r="1" spans="1:3" x14ac:dyDescent="0.2">
      <c r="A1" t="s">
        <v>67</v>
      </c>
      <c r="B1" t="s">
        <v>66</v>
      </c>
      <c r="C1" t="s">
        <v>6</v>
      </c>
    </row>
    <row r="2" spans="1:3" x14ac:dyDescent="0.2">
      <c r="A2" t="s">
        <v>55</v>
      </c>
      <c r="B2">
        <v>2.95</v>
      </c>
      <c r="C2">
        <v>2</v>
      </c>
    </row>
    <row r="3" spans="1:3" x14ac:dyDescent="0.2">
      <c r="A3" t="s">
        <v>58</v>
      </c>
      <c r="B3">
        <v>1.75</v>
      </c>
      <c r="C3">
        <v>2</v>
      </c>
    </row>
    <row r="4" spans="1:3" x14ac:dyDescent="0.2">
      <c r="A4" t="s">
        <v>53</v>
      </c>
      <c r="B4">
        <v>4.26</v>
      </c>
      <c r="C4">
        <v>2</v>
      </c>
    </row>
    <row r="5" spans="1:3" x14ac:dyDescent="0.2">
      <c r="A5" t="s">
        <v>60</v>
      </c>
      <c r="B5">
        <v>6.1</v>
      </c>
      <c r="C5">
        <v>2</v>
      </c>
    </row>
    <row r="27" spans="6:20" ht="16" thickBot="1" x14ac:dyDescent="0.25">
      <c r="F27" s="26" t="s">
        <v>0</v>
      </c>
      <c r="G27" s="27" t="s">
        <v>1</v>
      </c>
      <c r="H27" s="27" t="s">
        <v>2</v>
      </c>
      <c r="I27" s="27" t="s">
        <v>4</v>
      </c>
      <c r="J27" s="27" t="s">
        <v>16</v>
      </c>
      <c r="K27" s="27" t="s">
        <v>17</v>
      </c>
      <c r="L27" s="27" t="s">
        <v>18</v>
      </c>
      <c r="M27" s="27" t="s">
        <v>19</v>
      </c>
      <c r="N27" s="27" t="s">
        <v>20</v>
      </c>
      <c r="O27" s="27" t="s">
        <v>21</v>
      </c>
      <c r="P27" s="27" t="s">
        <v>22</v>
      </c>
      <c r="Q27" s="27" t="s">
        <v>23</v>
      </c>
      <c r="R27" s="28" t="s">
        <v>9</v>
      </c>
      <c r="S27" s="99" t="s">
        <v>24</v>
      </c>
      <c r="T27" s="100"/>
    </row>
    <row r="28" spans="6:20" ht="16" thickBot="1" x14ac:dyDescent="0.25">
      <c r="F28" s="19" t="s">
        <v>68</v>
      </c>
      <c r="G28" s="9" t="s">
        <v>69</v>
      </c>
      <c r="H28" s="9" t="s">
        <v>70</v>
      </c>
      <c r="I28" s="8">
        <v>45402</v>
      </c>
      <c r="J28" s="9">
        <v>28.14</v>
      </c>
      <c r="K28" s="9">
        <v>100</v>
      </c>
      <c r="L28" s="9">
        <v>2.0499999999999998</v>
      </c>
      <c r="M28" s="9">
        <v>56</v>
      </c>
      <c r="N28" s="20">
        <v>2.87E-2</v>
      </c>
      <c r="O28" s="9">
        <v>-77.319999999999993</v>
      </c>
      <c r="P28" s="9">
        <v>98</v>
      </c>
      <c r="Q28" s="8">
        <v>44755</v>
      </c>
      <c r="R28" s="8">
        <v>45304</v>
      </c>
      <c r="S28" s="9" t="s">
        <v>26</v>
      </c>
      <c r="T28" s="10" t="s">
        <v>27</v>
      </c>
    </row>
    <row r="29" spans="6:20" ht="16" thickBot="1" x14ac:dyDescent="0.25">
      <c r="F29" s="19" t="s">
        <v>71</v>
      </c>
      <c r="G29" s="9" t="s">
        <v>72</v>
      </c>
      <c r="H29" s="9" t="s">
        <v>73</v>
      </c>
      <c r="I29" s="8">
        <v>45402</v>
      </c>
      <c r="J29" s="9">
        <v>7.73</v>
      </c>
      <c r="K29" s="9">
        <v>100</v>
      </c>
      <c r="L29" s="9">
        <v>1.63</v>
      </c>
      <c r="M29" s="9">
        <v>16</v>
      </c>
      <c r="N29" s="20">
        <v>1.9699999999999999E-2</v>
      </c>
      <c r="O29" s="9">
        <v>-95.37</v>
      </c>
      <c r="P29" s="9">
        <v>132</v>
      </c>
      <c r="Q29" s="8">
        <v>44722</v>
      </c>
      <c r="R29" s="8">
        <v>45270</v>
      </c>
      <c r="S29" s="9" t="s">
        <v>28</v>
      </c>
      <c r="T29" s="10" t="s">
        <v>29</v>
      </c>
    </row>
    <row r="30" spans="6:20" ht="16" thickBot="1" x14ac:dyDescent="0.25">
      <c r="F30" s="19" t="s">
        <v>74</v>
      </c>
      <c r="G30" s="9" t="s">
        <v>75</v>
      </c>
      <c r="H30" s="9" t="s">
        <v>76</v>
      </c>
      <c r="I30" s="8">
        <v>45402</v>
      </c>
      <c r="J30" s="9">
        <v>0.56000000000000005</v>
      </c>
      <c r="K30" s="9">
        <v>100</v>
      </c>
      <c r="L30" s="9">
        <v>0.9</v>
      </c>
      <c r="M30" s="9">
        <v>2</v>
      </c>
      <c r="N30" s="20">
        <v>9.1000000000000004E-3</v>
      </c>
      <c r="O30" s="9">
        <v>-99.97</v>
      </c>
      <c r="P30" s="9">
        <v>164</v>
      </c>
      <c r="Q30" s="8">
        <v>43959</v>
      </c>
      <c r="R30" s="8">
        <v>45238</v>
      </c>
      <c r="S30" s="9" t="s">
        <v>30</v>
      </c>
      <c r="T30" s="10" t="s">
        <v>31</v>
      </c>
    </row>
    <row r="31" spans="6:20" ht="16" thickBot="1" x14ac:dyDescent="0.25">
      <c r="F31" s="19" t="s">
        <v>77</v>
      </c>
      <c r="G31" s="9" t="s">
        <v>78</v>
      </c>
      <c r="H31" s="9" t="s">
        <v>79</v>
      </c>
      <c r="I31" s="8">
        <v>45402</v>
      </c>
      <c r="J31" s="9">
        <v>2.76</v>
      </c>
      <c r="K31" s="9">
        <v>100</v>
      </c>
      <c r="L31" s="9">
        <v>0.85</v>
      </c>
      <c r="M31" s="9">
        <v>6</v>
      </c>
      <c r="N31" s="20">
        <v>9.1999999999999998E-3</v>
      </c>
      <c r="O31" s="9">
        <v>-99.57</v>
      </c>
      <c r="P31" s="9">
        <v>102</v>
      </c>
      <c r="Q31" s="8">
        <v>44751</v>
      </c>
      <c r="R31" s="8">
        <v>45300</v>
      </c>
      <c r="S31" s="9" t="s">
        <v>32</v>
      </c>
      <c r="T31" s="10" t="s">
        <v>27</v>
      </c>
    </row>
    <row r="32" spans="6:20" ht="16" thickBot="1" x14ac:dyDescent="0.25">
      <c r="F32" s="19" t="s">
        <v>80</v>
      </c>
      <c r="G32" s="9" t="s">
        <v>81</v>
      </c>
      <c r="H32" s="9" t="s">
        <v>82</v>
      </c>
      <c r="I32" s="8">
        <v>45402</v>
      </c>
      <c r="J32" s="9">
        <v>7.88</v>
      </c>
      <c r="K32" s="9">
        <v>100</v>
      </c>
      <c r="L32" s="9">
        <v>1.25</v>
      </c>
      <c r="M32" s="9">
        <v>16</v>
      </c>
      <c r="N32" s="20">
        <v>1.49E-2</v>
      </c>
      <c r="O32" s="9">
        <v>-96.59</v>
      </c>
      <c r="P32" s="9">
        <v>86</v>
      </c>
      <c r="Q32" s="8">
        <v>44767</v>
      </c>
      <c r="R32" s="8">
        <v>45316</v>
      </c>
      <c r="S32" s="9" t="s">
        <v>32</v>
      </c>
      <c r="T32" s="10" t="s">
        <v>27</v>
      </c>
    </row>
    <row r="33" spans="6:20" x14ac:dyDescent="0.2">
      <c r="F33" s="21" t="s">
        <v>83</v>
      </c>
      <c r="G33" s="12" t="s">
        <v>84</v>
      </c>
      <c r="H33" s="12" t="s">
        <v>85</v>
      </c>
      <c r="I33" s="11">
        <v>45402</v>
      </c>
      <c r="J33" s="12">
        <v>6.33</v>
      </c>
      <c r="K33" s="12">
        <v>100</v>
      </c>
      <c r="L33" s="12">
        <v>3.1</v>
      </c>
      <c r="M33" s="12">
        <v>13</v>
      </c>
      <c r="N33" s="22">
        <v>2.9600000000000001E-2</v>
      </c>
      <c r="O33" s="12">
        <v>-101.53</v>
      </c>
      <c r="P33" s="12">
        <v>97</v>
      </c>
      <c r="Q33" s="11">
        <v>44575</v>
      </c>
      <c r="R33" s="11">
        <v>45305</v>
      </c>
      <c r="S33" s="12" t="s">
        <v>32</v>
      </c>
      <c r="T33" s="13" t="s">
        <v>27</v>
      </c>
    </row>
    <row r="34" spans="6:20" ht="16" x14ac:dyDescent="0.2">
      <c r="F34" s="23"/>
    </row>
    <row r="35" spans="6:20" ht="16" x14ac:dyDescent="0.2">
      <c r="F35" s="23"/>
    </row>
    <row r="36" spans="6:20" ht="16" x14ac:dyDescent="0.2">
      <c r="F36" s="23"/>
    </row>
    <row r="37" spans="6:20" ht="17" thickBot="1" x14ac:dyDescent="0.25">
      <c r="F37" s="23"/>
    </row>
    <row r="38" spans="6:20" ht="16" thickBot="1" x14ac:dyDescent="0.25">
      <c r="F38" s="29" t="s">
        <v>0</v>
      </c>
      <c r="G38" s="30" t="s">
        <v>1</v>
      </c>
      <c r="H38" s="30" t="s">
        <v>2</v>
      </c>
      <c r="I38" s="30" t="s">
        <v>3</v>
      </c>
      <c r="J38" s="30" t="s">
        <v>49</v>
      </c>
      <c r="K38" s="30" t="s">
        <v>50</v>
      </c>
      <c r="L38" s="30" t="s">
        <v>5</v>
      </c>
      <c r="M38" s="30" t="s">
        <v>51</v>
      </c>
      <c r="N38" s="30" t="s">
        <v>86</v>
      </c>
      <c r="O38" s="30" t="s">
        <v>7</v>
      </c>
      <c r="P38" s="30" t="s">
        <v>8</v>
      </c>
      <c r="Q38" s="30" t="s">
        <v>25</v>
      </c>
      <c r="R38" s="30" t="s">
        <v>87</v>
      </c>
      <c r="S38" s="31" t="s">
        <v>88</v>
      </c>
    </row>
    <row r="39" spans="6:20" ht="16" thickBot="1" x14ac:dyDescent="0.25">
      <c r="F39" s="24" t="s">
        <v>68</v>
      </c>
      <c r="G39" s="3" t="s">
        <v>69</v>
      </c>
      <c r="H39" s="3" t="s">
        <v>70</v>
      </c>
      <c r="I39" s="3" t="s">
        <v>89</v>
      </c>
      <c r="J39" s="3">
        <v>750</v>
      </c>
      <c r="K39" s="3">
        <v>750</v>
      </c>
      <c r="L39" s="2">
        <v>44575</v>
      </c>
      <c r="M39" s="2">
        <v>55533</v>
      </c>
      <c r="N39" s="3" t="s">
        <v>54</v>
      </c>
      <c r="O39" s="2">
        <v>55349</v>
      </c>
      <c r="P39" s="3">
        <v>100</v>
      </c>
      <c r="Q39" s="4">
        <v>4.1000000000000002E-2</v>
      </c>
      <c r="R39" s="3" t="s">
        <v>12</v>
      </c>
      <c r="S39" s="4">
        <v>5.7360000000000001E-2</v>
      </c>
    </row>
    <row r="40" spans="6:20" ht="16" thickBot="1" x14ac:dyDescent="0.25">
      <c r="F40" s="25" t="s">
        <v>71</v>
      </c>
      <c r="G40" s="6" t="s">
        <v>72</v>
      </c>
      <c r="H40" s="6" t="s">
        <v>73</v>
      </c>
      <c r="I40" s="6" t="s">
        <v>15</v>
      </c>
      <c r="J40" s="6">
        <v>2500</v>
      </c>
      <c r="K40" s="6">
        <v>2500</v>
      </c>
      <c r="L40" s="5">
        <v>44512</v>
      </c>
      <c r="M40" s="5">
        <v>48184</v>
      </c>
      <c r="N40" s="6" t="s">
        <v>54</v>
      </c>
      <c r="O40" s="5">
        <v>48164</v>
      </c>
      <c r="P40" s="6">
        <v>100</v>
      </c>
      <c r="Q40" s="7">
        <v>3.2500000000000001E-2</v>
      </c>
      <c r="R40" s="6" t="s">
        <v>12</v>
      </c>
      <c r="S40" s="7">
        <v>3.9320000000000001E-2</v>
      </c>
    </row>
    <row r="41" spans="6:20" ht="16" thickBot="1" x14ac:dyDescent="0.25">
      <c r="F41" s="25" t="s">
        <v>74</v>
      </c>
      <c r="G41" s="6" t="s">
        <v>75</v>
      </c>
      <c r="H41" s="6" t="s">
        <v>76</v>
      </c>
      <c r="I41" s="6" t="s">
        <v>90</v>
      </c>
      <c r="J41" s="6">
        <v>750</v>
      </c>
      <c r="K41" s="6">
        <v>750</v>
      </c>
      <c r="L41" s="5">
        <v>43719</v>
      </c>
      <c r="M41" s="5">
        <v>45605</v>
      </c>
      <c r="N41" s="6" t="s">
        <v>54</v>
      </c>
      <c r="O41" s="5">
        <v>45515</v>
      </c>
      <c r="P41" s="6">
        <v>100</v>
      </c>
      <c r="Q41" s="7">
        <v>1.7999999999999999E-2</v>
      </c>
      <c r="R41" s="6" t="s">
        <v>12</v>
      </c>
      <c r="S41" s="7">
        <v>1.8270000000000002E-2</v>
      </c>
    </row>
    <row r="42" spans="6:20" ht="16" thickBot="1" x14ac:dyDescent="0.25">
      <c r="F42" s="25" t="s">
        <v>77</v>
      </c>
      <c r="G42" s="6" t="s">
        <v>78</v>
      </c>
      <c r="H42" s="6" t="s">
        <v>79</v>
      </c>
      <c r="I42" s="6" t="s">
        <v>14</v>
      </c>
      <c r="J42" s="6">
        <v>500</v>
      </c>
      <c r="K42" s="6">
        <v>500</v>
      </c>
      <c r="L42" s="5">
        <v>44571</v>
      </c>
      <c r="M42" s="5">
        <v>46395</v>
      </c>
      <c r="N42" s="6" t="s">
        <v>13</v>
      </c>
      <c r="O42" s="6"/>
      <c r="P42" s="6"/>
      <c r="Q42" s="7">
        <v>1.7000000000000001E-2</v>
      </c>
      <c r="R42" s="6" t="s">
        <v>12</v>
      </c>
      <c r="S42" s="7">
        <v>1.847E-2</v>
      </c>
    </row>
    <row r="43" spans="6:20" ht="16" thickBot="1" x14ac:dyDescent="0.25">
      <c r="F43" s="25" t="s">
        <v>80</v>
      </c>
      <c r="G43" s="6" t="s">
        <v>81</v>
      </c>
      <c r="H43" s="6" t="s">
        <v>82</v>
      </c>
      <c r="I43" s="6" t="s">
        <v>11</v>
      </c>
      <c r="J43" s="6">
        <v>450</v>
      </c>
      <c r="K43" s="6">
        <v>450</v>
      </c>
      <c r="L43" s="5">
        <v>44587</v>
      </c>
      <c r="M43" s="5">
        <v>48239</v>
      </c>
      <c r="N43" s="6" t="s">
        <v>54</v>
      </c>
      <c r="O43" s="5">
        <v>48147</v>
      </c>
      <c r="P43" s="6">
        <v>100</v>
      </c>
      <c r="Q43" s="7">
        <v>2.5000000000000001E-2</v>
      </c>
      <c r="R43" s="6" t="s">
        <v>12</v>
      </c>
      <c r="S43" s="7">
        <v>2.9819999999999999E-2</v>
      </c>
    </row>
    <row r="44" spans="6:20" ht="16" thickBot="1" x14ac:dyDescent="0.25">
      <c r="F44" s="25" t="s">
        <v>83</v>
      </c>
      <c r="G44" s="6" t="s">
        <v>84</v>
      </c>
      <c r="H44" s="6" t="s">
        <v>85</v>
      </c>
      <c r="I44" s="6" t="s">
        <v>43</v>
      </c>
      <c r="J44" s="6">
        <v>749</v>
      </c>
      <c r="K44" s="6">
        <v>749</v>
      </c>
      <c r="L44" s="5">
        <v>44392</v>
      </c>
      <c r="M44" s="5">
        <v>47679</v>
      </c>
      <c r="N44" s="6" t="s">
        <v>54</v>
      </c>
      <c r="O44" s="5">
        <v>47588</v>
      </c>
      <c r="P44" s="6">
        <v>100</v>
      </c>
      <c r="Q44" s="7">
        <v>6.2E-2</v>
      </c>
      <c r="R44" s="6" t="s">
        <v>12</v>
      </c>
      <c r="S44" s="7">
        <v>5.9130000000000002E-2</v>
      </c>
    </row>
  </sheetData>
  <mergeCells count="1">
    <mergeCell ref="S27:T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EC17-7105-49E4-B9ED-13F6CE8603F8}">
  <dimension ref="A2:AE55"/>
  <sheetViews>
    <sheetView zoomScale="67" zoomScaleNormal="80" workbookViewId="0">
      <selection activeCell="B23" sqref="B23"/>
    </sheetView>
  </sheetViews>
  <sheetFormatPr baseColWidth="10" defaultColWidth="8.83203125" defaultRowHeight="15" x14ac:dyDescent="0.2"/>
  <cols>
    <col min="1" max="1" width="5.33203125" bestFit="1" customWidth="1"/>
    <col min="2" max="2" width="9.1640625" bestFit="1" customWidth="1"/>
    <col min="3" max="3" width="9.5" bestFit="1" customWidth="1"/>
    <col min="4" max="4" width="11.33203125" customWidth="1"/>
    <col min="5" max="5" width="11.1640625" customWidth="1"/>
    <col min="6" max="6" width="8.83203125" customWidth="1"/>
    <col min="7" max="7" width="11.33203125" customWidth="1"/>
    <col min="10" max="10" width="5.83203125" customWidth="1"/>
    <col min="11" max="11" width="9" bestFit="1" customWidth="1"/>
    <col min="12" max="12" width="8.1640625" customWidth="1"/>
    <col min="13" max="13" width="9" bestFit="1" customWidth="1"/>
    <col min="14" max="14" width="9.83203125" bestFit="1" customWidth="1"/>
    <col min="15" max="15" width="10.1640625" customWidth="1"/>
    <col min="18" max="21" width="9" bestFit="1" customWidth="1"/>
    <col min="22" max="22" width="9.83203125" bestFit="1" customWidth="1"/>
    <col min="23" max="23" width="10.83203125" bestFit="1" customWidth="1"/>
    <col min="26" max="29" width="9" bestFit="1" customWidth="1"/>
    <col min="30" max="30" width="9.83203125" bestFit="1" customWidth="1"/>
    <col min="31" max="31" width="10.83203125" bestFit="1" customWidth="1"/>
  </cols>
  <sheetData>
    <row r="2" spans="1:31" ht="32" x14ac:dyDescent="0.2">
      <c r="A2" s="35" t="s">
        <v>67</v>
      </c>
      <c r="B2" s="35" t="s">
        <v>104</v>
      </c>
      <c r="C2" s="35" t="s">
        <v>105</v>
      </c>
      <c r="D2" s="38" t="s">
        <v>106</v>
      </c>
      <c r="E2" s="38" t="s">
        <v>107</v>
      </c>
      <c r="F2" s="35" t="s">
        <v>108</v>
      </c>
      <c r="G2" s="35" t="s">
        <v>109</v>
      </c>
      <c r="I2" s="38" t="s">
        <v>67</v>
      </c>
      <c r="J2" s="38" t="s">
        <v>104</v>
      </c>
      <c r="K2" s="38" t="s">
        <v>105</v>
      </c>
      <c r="L2" s="38" t="s">
        <v>106</v>
      </c>
      <c r="M2" s="38" t="s">
        <v>107</v>
      </c>
      <c r="N2" s="38" t="s">
        <v>108</v>
      </c>
      <c r="O2" s="38" t="s">
        <v>109</v>
      </c>
      <c r="Q2" s="38" t="s">
        <v>67</v>
      </c>
      <c r="R2" s="38" t="s">
        <v>104</v>
      </c>
      <c r="S2" s="38" t="s">
        <v>105</v>
      </c>
      <c r="T2" s="38" t="s">
        <v>106</v>
      </c>
      <c r="U2" s="38" t="s">
        <v>107</v>
      </c>
      <c r="V2" s="38" t="s">
        <v>108</v>
      </c>
      <c r="W2" s="38" t="s">
        <v>109</v>
      </c>
      <c r="Y2" s="38" t="s">
        <v>67</v>
      </c>
      <c r="Z2" s="38" t="s">
        <v>104</v>
      </c>
      <c r="AA2" s="38" t="s">
        <v>105</v>
      </c>
      <c r="AB2" s="38" t="s">
        <v>106</v>
      </c>
      <c r="AC2" s="38" t="s">
        <v>107</v>
      </c>
      <c r="AD2" s="38" t="s">
        <v>108</v>
      </c>
      <c r="AE2" s="38" t="s">
        <v>109</v>
      </c>
    </row>
    <row r="3" spans="1:31" x14ac:dyDescent="0.2">
      <c r="A3" s="1" t="s">
        <v>34</v>
      </c>
      <c r="B3" s="1">
        <v>1</v>
      </c>
      <c r="C3" s="1">
        <v>1.48</v>
      </c>
      <c r="D3" s="37">
        <f>1/1.0202</f>
        <v>0.98019996079200156</v>
      </c>
      <c r="E3" s="36">
        <f>C3*D3</f>
        <v>1.4506959419721623</v>
      </c>
      <c r="F3" s="37">
        <f>E3*B3</f>
        <v>1.4506959419721623</v>
      </c>
      <c r="G3" s="37">
        <f>B3*(B3+1)*E3</f>
        <v>2.9013918839443247</v>
      </c>
      <c r="I3" s="1" t="s">
        <v>35</v>
      </c>
      <c r="J3" s="1">
        <v>1</v>
      </c>
      <c r="K3" s="1">
        <v>0.88</v>
      </c>
      <c r="L3" s="37">
        <f>1/1.0228</f>
        <v>0.97770825185764576</v>
      </c>
      <c r="M3" s="37">
        <f>K3*L3</f>
        <v>0.86038326163472822</v>
      </c>
      <c r="N3" s="37">
        <f>J3*M3</f>
        <v>0.86038326163472822</v>
      </c>
      <c r="O3" s="37">
        <f>J3*(J3+1)*M3</f>
        <v>1.7207665232694564</v>
      </c>
      <c r="Q3" s="1" t="s">
        <v>33</v>
      </c>
      <c r="R3" s="1">
        <v>1</v>
      </c>
      <c r="S3" s="1">
        <v>2.13</v>
      </c>
      <c r="T3" s="37">
        <f>1/1.0287</f>
        <v>0.97210070963351813</v>
      </c>
      <c r="U3" s="37">
        <f>S3*T3</f>
        <v>2.0705745115193936</v>
      </c>
      <c r="V3" s="37">
        <f>R3*U3</f>
        <v>2.0705745115193936</v>
      </c>
      <c r="W3" s="37">
        <f>R3*(R3+1)*U3</f>
        <v>4.1411490230387873</v>
      </c>
      <c r="Y3" s="1" t="s">
        <v>36</v>
      </c>
      <c r="Z3" s="1">
        <v>1</v>
      </c>
      <c r="AA3" s="1">
        <v>3.05</v>
      </c>
      <c r="AB3" s="1">
        <f>1/1.0305</f>
        <v>0.97040271712760795</v>
      </c>
      <c r="AC3" s="37">
        <f>AA3*AB3</f>
        <v>2.9597282872392041</v>
      </c>
      <c r="AD3" s="37">
        <f>Z3*AC3</f>
        <v>2.9597282872392041</v>
      </c>
      <c r="AE3" s="37">
        <f t="shared" ref="AE3:AE20" si="0">Z3*(Z3+1)*AC3</f>
        <v>5.9194565744784082</v>
      </c>
    </row>
    <row r="4" spans="1:31" x14ac:dyDescent="0.2">
      <c r="A4" s="1" t="s">
        <v>34</v>
      </c>
      <c r="B4" s="1">
        <v>2</v>
      </c>
      <c r="C4" s="1">
        <v>1.48</v>
      </c>
      <c r="D4" s="37">
        <f>D3/1.0202</f>
        <v>0.96079196313664139</v>
      </c>
      <c r="E4" s="36">
        <f t="shared" ref="E4:E6" si="1">C4*D4</f>
        <v>1.4219721054422292</v>
      </c>
      <c r="F4" s="37">
        <f t="shared" ref="F4:F6" si="2">E4*B4</f>
        <v>2.8439442108844584</v>
      </c>
      <c r="G4" s="37">
        <f>B4*(B4+1)*E4</f>
        <v>8.5318326326533747</v>
      </c>
      <c r="I4" s="1" t="s">
        <v>35</v>
      </c>
      <c r="J4" s="1">
        <v>2</v>
      </c>
      <c r="K4" s="1">
        <v>0.88</v>
      </c>
      <c r="L4" s="37">
        <f>L3/1.0228</f>
        <v>0.95591342575053362</v>
      </c>
      <c r="M4" s="37">
        <f t="shared" ref="M4:M15" si="3">K4*L4</f>
        <v>0.84120381466046956</v>
      </c>
      <c r="N4" s="37">
        <f t="shared" ref="N4:N15" si="4">J4*M4</f>
        <v>1.6824076293209391</v>
      </c>
      <c r="O4" s="37">
        <f t="shared" ref="O4:O15" si="5">J4*(J4+1)*M4</f>
        <v>5.0472228879628176</v>
      </c>
      <c r="Q4" s="1" t="s">
        <v>33</v>
      </c>
      <c r="R4" s="1">
        <v>2</v>
      </c>
      <c r="S4" s="1">
        <v>2.13</v>
      </c>
      <c r="T4" s="37">
        <f>T3/1.0287</f>
        <v>0.94497978966998952</v>
      </c>
      <c r="U4" s="37">
        <f>S4*T4</f>
        <v>2.0128069519970775</v>
      </c>
      <c r="V4" s="37">
        <f>R4*U4</f>
        <v>4.025613903994155</v>
      </c>
      <c r="W4" s="37">
        <f t="shared" ref="W4:W48" si="6">R4*(R4+1)*U4</f>
        <v>12.076841711982464</v>
      </c>
      <c r="Y4" s="1" t="s">
        <v>36</v>
      </c>
      <c r="Z4" s="1">
        <v>2</v>
      </c>
      <c r="AA4" s="1">
        <v>3.05</v>
      </c>
      <c r="AB4" s="1">
        <f>AB3/1.0305</f>
        <v>0.9416814334086443</v>
      </c>
      <c r="AC4" s="37">
        <f t="shared" ref="AC4:AC20" si="7">AA4*AB4</f>
        <v>2.8721283718963648</v>
      </c>
      <c r="AD4" s="37">
        <f t="shared" ref="AD4:AD20" si="8">Z4*AC4</f>
        <v>5.7442567437927297</v>
      </c>
      <c r="AE4" s="37">
        <f t="shared" si="0"/>
        <v>17.23277023137819</v>
      </c>
    </row>
    <row r="5" spans="1:31" x14ac:dyDescent="0.2">
      <c r="A5" s="1" t="s">
        <v>34</v>
      </c>
      <c r="B5" s="1">
        <v>3</v>
      </c>
      <c r="C5" s="1">
        <v>1.48</v>
      </c>
      <c r="D5" s="37">
        <f>D4/1.0202</f>
        <v>0.9417682445958061</v>
      </c>
      <c r="E5" s="36">
        <f t="shared" si="1"/>
        <v>1.393817002001793</v>
      </c>
      <c r="F5" s="37">
        <f t="shared" si="2"/>
        <v>4.1814510060053793</v>
      </c>
      <c r="G5" s="37">
        <f t="shared" ref="G5:G6" si="9">B5*(B5+1)*E5</f>
        <v>16.725804024021517</v>
      </c>
      <c r="I5" s="1" t="s">
        <v>35</v>
      </c>
      <c r="J5" s="1">
        <v>3</v>
      </c>
      <c r="K5" s="1">
        <v>0.88</v>
      </c>
      <c r="L5" s="37">
        <f t="shared" ref="L5:L15" si="10">L4/1.0228</f>
        <v>0.93460444441780766</v>
      </c>
      <c r="M5" s="37">
        <f t="shared" si="3"/>
        <v>0.8224519110876708</v>
      </c>
      <c r="N5" s="37">
        <f t="shared" si="4"/>
        <v>2.4673557332630125</v>
      </c>
      <c r="O5" s="37">
        <f t="shared" si="5"/>
        <v>9.86942293305205</v>
      </c>
      <c r="Q5" s="1" t="s">
        <v>33</v>
      </c>
      <c r="R5" s="1">
        <v>3</v>
      </c>
      <c r="S5" s="1">
        <v>2.13</v>
      </c>
      <c r="T5" s="37">
        <f t="shared" ref="T5:T48" si="11">T4/1.0287</f>
        <v>0.91861552412752945</v>
      </c>
      <c r="U5" s="37">
        <f t="shared" ref="U5:U48" si="12">S5*T5</f>
        <v>1.9566510663916377</v>
      </c>
      <c r="V5" s="37">
        <f t="shared" ref="V5:V48" si="13">R5*U5</f>
        <v>5.8699531991749128</v>
      </c>
      <c r="W5" s="37">
        <f t="shared" si="6"/>
        <v>23.479812796699651</v>
      </c>
      <c r="Y5" s="1" t="s">
        <v>36</v>
      </c>
      <c r="Z5" s="1">
        <v>3</v>
      </c>
      <c r="AA5" s="1">
        <v>3.05</v>
      </c>
      <c r="AB5" s="1">
        <f t="shared" ref="AB5:AB20" si="14">AB4/1.0305</f>
        <v>0.91381022164836911</v>
      </c>
      <c r="AC5" s="37">
        <f t="shared" si="7"/>
        <v>2.7871211760275258</v>
      </c>
      <c r="AD5" s="37">
        <f t="shared" si="8"/>
        <v>8.3613635280825775</v>
      </c>
      <c r="AE5" s="37">
        <f t="shared" si="0"/>
        <v>33.44545411233031</v>
      </c>
    </row>
    <row r="6" spans="1:31" x14ac:dyDescent="0.2">
      <c r="A6" s="1" t="s">
        <v>34</v>
      </c>
      <c r="B6" s="1">
        <v>4</v>
      </c>
      <c r="C6" s="1">
        <v>101.47</v>
      </c>
      <c r="D6" s="37">
        <f>D5/1.0202</f>
        <v>0.92312119642796131</v>
      </c>
      <c r="E6" s="36">
        <f t="shared" si="1"/>
        <v>93.669107801545238</v>
      </c>
      <c r="F6" s="37">
        <f t="shared" si="2"/>
        <v>374.67643120618095</v>
      </c>
      <c r="G6" s="37">
        <f t="shared" si="9"/>
        <v>1873.3821560309048</v>
      </c>
      <c r="I6" s="1" t="s">
        <v>35</v>
      </c>
      <c r="J6" s="1">
        <v>4</v>
      </c>
      <c r="K6" s="1">
        <v>0.88</v>
      </c>
      <c r="L6" s="37">
        <f t="shared" si="10"/>
        <v>0.91377047753012097</v>
      </c>
      <c r="M6" s="37">
        <f t="shared" si="3"/>
        <v>0.80411802022650647</v>
      </c>
      <c r="N6" s="37">
        <f t="shared" si="4"/>
        <v>3.2164720809060259</v>
      </c>
      <c r="O6" s="37">
        <f t="shared" si="5"/>
        <v>16.082360404530128</v>
      </c>
      <c r="Q6" s="1" t="s">
        <v>33</v>
      </c>
      <c r="R6" s="1">
        <v>4</v>
      </c>
      <c r="S6" s="1">
        <v>2.13</v>
      </c>
      <c r="T6" s="37">
        <f t="shared" si="11"/>
        <v>0.89298680288473753</v>
      </c>
      <c r="U6" s="37">
        <f t="shared" si="12"/>
        <v>1.9020618901444908</v>
      </c>
      <c r="V6" s="37">
        <f t="shared" si="13"/>
        <v>7.6082475605779631</v>
      </c>
      <c r="W6" s="37">
        <f t="shared" si="6"/>
        <v>38.041237802889817</v>
      </c>
      <c r="Y6" s="1" t="s">
        <v>36</v>
      </c>
      <c r="Z6" s="1">
        <v>4</v>
      </c>
      <c r="AA6" s="1">
        <v>3.05</v>
      </c>
      <c r="AB6" s="1">
        <f t="shared" si="14"/>
        <v>0.88676392202655907</v>
      </c>
      <c r="AC6" s="37">
        <f t="shared" si="7"/>
        <v>2.7046299621810048</v>
      </c>
      <c r="AD6" s="37">
        <f t="shared" si="8"/>
        <v>10.818519848724019</v>
      </c>
      <c r="AE6" s="37">
        <f t="shared" si="0"/>
        <v>54.0925992436201</v>
      </c>
    </row>
    <row r="7" spans="1:31" x14ac:dyDescent="0.2">
      <c r="D7" s="17" t="s">
        <v>113</v>
      </c>
      <c r="E7" s="39">
        <f>SUM(E3:E6)</f>
        <v>97.935592850961427</v>
      </c>
      <c r="F7" s="40">
        <f>SUM(F3:F6)</f>
        <v>383.15252236504296</v>
      </c>
      <c r="G7" s="40">
        <f>SUM(G3:G6)</f>
        <v>1901.5411845715239</v>
      </c>
      <c r="I7" s="1" t="s">
        <v>35</v>
      </c>
      <c r="J7" s="1">
        <v>5</v>
      </c>
      <c r="K7" s="1">
        <v>0.88</v>
      </c>
      <c r="L7" s="37">
        <f t="shared" si="10"/>
        <v>0.89340093618510075</v>
      </c>
      <c r="M7" s="37">
        <f t="shared" si="3"/>
        <v>0.78619282384288869</v>
      </c>
      <c r="N7" s="37">
        <f t="shared" si="4"/>
        <v>3.9309641192144436</v>
      </c>
      <c r="O7" s="37">
        <f t="shared" si="5"/>
        <v>23.58578471528666</v>
      </c>
      <c r="Q7" s="1" t="s">
        <v>33</v>
      </c>
      <c r="R7" s="1">
        <v>5</v>
      </c>
      <c r="S7" s="1">
        <v>2.13</v>
      </c>
      <c r="T7" s="37">
        <f t="shared" si="11"/>
        <v>0.8680731047776199</v>
      </c>
      <c r="U7" s="37">
        <f t="shared" si="12"/>
        <v>1.8489957131763304</v>
      </c>
      <c r="V7" s="37">
        <f t="shared" si="13"/>
        <v>9.2449785658816523</v>
      </c>
      <c r="W7" s="37">
        <f t="shared" si="6"/>
        <v>55.469871395289914</v>
      </c>
      <c r="Y7" s="1" t="s">
        <v>36</v>
      </c>
      <c r="Z7" s="1">
        <v>5</v>
      </c>
      <c r="AA7" s="1">
        <v>3.05</v>
      </c>
      <c r="AB7" s="1">
        <f t="shared" si="14"/>
        <v>0.8605181193853072</v>
      </c>
      <c r="AC7" s="37">
        <f t="shared" si="7"/>
        <v>2.624580264125187</v>
      </c>
      <c r="AD7" s="37">
        <f t="shared" si="8"/>
        <v>13.122901320625935</v>
      </c>
      <c r="AE7" s="37">
        <f t="shared" si="0"/>
        <v>78.737407923755612</v>
      </c>
    </row>
    <row r="8" spans="1:31" x14ac:dyDescent="0.2">
      <c r="D8" s="18"/>
      <c r="E8" s="32"/>
      <c r="I8" s="1" t="s">
        <v>35</v>
      </c>
      <c r="J8" s="1">
        <v>6</v>
      </c>
      <c r="K8" s="1">
        <v>0.88</v>
      </c>
      <c r="L8" s="37">
        <f t="shared" si="10"/>
        <v>0.87348546752551892</v>
      </c>
      <c r="M8" s="37">
        <f t="shared" si="3"/>
        <v>0.76866721142245664</v>
      </c>
      <c r="N8" s="37">
        <f t="shared" si="4"/>
        <v>4.6120032685347399</v>
      </c>
      <c r="O8" s="37">
        <f t="shared" si="5"/>
        <v>32.284022879743176</v>
      </c>
      <c r="Q8" s="1" t="s">
        <v>33</v>
      </c>
      <c r="R8" s="1">
        <v>6</v>
      </c>
      <c r="S8" s="1">
        <v>2.13</v>
      </c>
      <c r="T8" s="37">
        <f t="shared" si="11"/>
        <v>0.84385448116809558</v>
      </c>
      <c r="U8" s="37">
        <f t="shared" si="12"/>
        <v>1.7974100448880435</v>
      </c>
      <c r="V8" s="37">
        <f t="shared" si="13"/>
        <v>10.78446026932826</v>
      </c>
      <c r="W8" s="37">
        <f t="shared" si="6"/>
        <v>75.491221885297819</v>
      </c>
      <c r="Y8" s="1" t="s">
        <v>36</v>
      </c>
      <c r="Z8" s="1">
        <v>6</v>
      </c>
      <c r="AA8" s="1">
        <v>3.05</v>
      </c>
      <c r="AB8" s="1">
        <f t="shared" si="14"/>
        <v>0.83504912118904151</v>
      </c>
      <c r="AC8" s="37">
        <f t="shared" si="7"/>
        <v>2.5468998196265766</v>
      </c>
      <c r="AD8" s="37">
        <f t="shared" si="8"/>
        <v>15.281398917759461</v>
      </c>
      <c r="AE8" s="37">
        <f t="shared" si="0"/>
        <v>106.96979242431622</v>
      </c>
    </row>
    <row r="9" spans="1:31" x14ac:dyDescent="0.2">
      <c r="I9" s="1" t="s">
        <v>35</v>
      </c>
      <c r="J9" s="1">
        <v>7</v>
      </c>
      <c r="K9" s="1">
        <v>0.88</v>
      </c>
      <c r="L9" s="37">
        <f t="shared" si="10"/>
        <v>0.85401394947743348</v>
      </c>
      <c r="M9" s="37">
        <f t="shared" si="3"/>
        <v>0.75153227554014146</v>
      </c>
      <c r="N9" s="37">
        <f t="shared" si="4"/>
        <v>5.2607259287809907</v>
      </c>
      <c r="O9" s="37">
        <f t="shared" si="5"/>
        <v>42.085807430247925</v>
      </c>
      <c r="Q9" s="1" t="s">
        <v>33</v>
      </c>
      <c r="R9" s="1">
        <v>7</v>
      </c>
      <c r="S9" s="1">
        <v>2.13</v>
      </c>
      <c r="T9" s="37">
        <f t="shared" si="11"/>
        <v>0.82031153997092998</v>
      </c>
      <c r="U9" s="37">
        <f t="shared" si="12"/>
        <v>1.7472635801380807</v>
      </c>
      <c r="V9" s="37">
        <f t="shared" si="13"/>
        <v>12.230845060966566</v>
      </c>
      <c r="W9" s="37">
        <f t="shared" si="6"/>
        <v>97.846760487732524</v>
      </c>
      <c r="Y9" s="1" t="s">
        <v>36</v>
      </c>
      <c r="Z9" s="1">
        <v>7</v>
      </c>
      <c r="AA9" s="1">
        <v>3.05</v>
      </c>
      <c r="AB9" s="1">
        <f t="shared" si="14"/>
        <v>0.81033393613686711</v>
      </c>
      <c r="AC9" s="37">
        <f t="shared" si="7"/>
        <v>2.4715185052174444</v>
      </c>
      <c r="AD9" s="37">
        <f t="shared" si="8"/>
        <v>17.300629536522109</v>
      </c>
      <c r="AE9" s="37">
        <f t="shared" si="0"/>
        <v>138.40503629217687</v>
      </c>
    </row>
    <row r="10" spans="1:31" x14ac:dyDescent="0.2">
      <c r="B10" s="41" t="s">
        <v>110</v>
      </c>
      <c r="C10" s="42">
        <f>F7/E7</f>
        <v>3.9122908353465036</v>
      </c>
      <c r="I10" s="1" t="s">
        <v>35</v>
      </c>
      <c r="J10" s="1">
        <v>8</v>
      </c>
      <c r="K10" s="1">
        <v>0.88</v>
      </c>
      <c r="L10" s="37">
        <f t="shared" si="10"/>
        <v>0.83497648560562532</v>
      </c>
      <c r="M10" s="37">
        <f t="shared" si="3"/>
        <v>0.73477930733295027</v>
      </c>
      <c r="N10" s="37">
        <f t="shared" si="4"/>
        <v>5.8782344586636022</v>
      </c>
      <c r="O10" s="37">
        <f t="shared" si="5"/>
        <v>52.904110127972416</v>
      </c>
      <c r="Q10" s="1" t="s">
        <v>33</v>
      </c>
      <c r="R10" s="1">
        <v>8</v>
      </c>
      <c r="S10" s="1">
        <v>2.13</v>
      </c>
      <c r="T10" s="37">
        <f t="shared" si="11"/>
        <v>0.79742543012630507</v>
      </c>
      <c r="U10" s="37">
        <f t="shared" si="12"/>
        <v>1.6985161661690298</v>
      </c>
      <c r="V10" s="37">
        <f t="shared" si="13"/>
        <v>13.588129329352238</v>
      </c>
      <c r="W10" s="37">
        <f t="shared" si="6"/>
        <v>122.29316396417015</v>
      </c>
      <c r="Y10" s="1" t="s">
        <v>36</v>
      </c>
      <c r="Z10" s="1">
        <v>8</v>
      </c>
      <c r="AA10" s="1">
        <v>3.05</v>
      </c>
      <c r="AB10" s="1">
        <f t="shared" si="14"/>
        <v>0.78635025340792541</v>
      </c>
      <c r="AC10" s="37">
        <f t="shared" si="7"/>
        <v>2.3983682728941722</v>
      </c>
      <c r="AD10" s="37">
        <f t="shared" si="8"/>
        <v>19.186946183153378</v>
      </c>
      <c r="AE10" s="37">
        <f t="shared" si="0"/>
        <v>172.68251564838039</v>
      </c>
    </row>
    <row r="11" spans="1:31" x14ac:dyDescent="0.2">
      <c r="B11" s="41" t="s">
        <v>111</v>
      </c>
      <c r="C11" s="42">
        <f>C10/C12</f>
        <v>3.8348273234135499</v>
      </c>
      <c r="I11" s="1" t="s">
        <v>35</v>
      </c>
      <c r="J11" s="1">
        <v>9</v>
      </c>
      <c r="K11" s="1">
        <v>0.88</v>
      </c>
      <c r="L11" s="37">
        <f t="shared" si="10"/>
        <v>0.81636340008371666</v>
      </c>
      <c r="M11" s="37">
        <f t="shared" si="3"/>
        <v>0.71839979207367066</v>
      </c>
      <c r="N11" s="37">
        <f t="shared" si="4"/>
        <v>6.4655981286630357</v>
      </c>
      <c r="O11" s="37">
        <f t="shared" si="5"/>
        <v>64.655981286630364</v>
      </c>
      <c r="Q11" s="1" t="s">
        <v>33</v>
      </c>
      <c r="R11" s="1">
        <v>9</v>
      </c>
      <c r="S11" s="1">
        <v>2.13</v>
      </c>
      <c r="T11" s="37">
        <f t="shared" si="11"/>
        <v>0.77517782650559452</v>
      </c>
      <c r="U11" s="37">
        <f t="shared" si="12"/>
        <v>1.6511287704569162</v>
      </c>
      <c r="V11" s="37">
        <f t="shared" si="13"/>
        <v>14.860158934112246</v>
      </c>
      <c r="W11" s="37">
        <f t="shared" si="6"/>
        <v>148.60158934112246</v>
      </c>
      <c r="Y11" s="1" t="s">
        <v>36</v>
      </c>
      <c r="Z11" s="1">
        <v>9</v>
      </c>
      <c r="AA11" s="1">
        <v>3.05</v>
      </c>
      <c r="AB11" s="1">
        <f t="shared" si="14"/>
        <v>0.76307642252103391</v>
      </c>
      <c r="AC11" s="37">
        <f t="shared" si="7"/>
        <v>2.3273830886891531</v>
      </c>
      <c r="AD11" s="37">
        <f t="shared" si="8"/>
        <v>20.946447798202378</v>
      </c>
      <c r="AE11" s="37">
        <f t="shared" si="0"/>
        <v>209.46447798202377</v>
      </c>
    </row>
    <row r="12" spans="1:31" x14ac:dyDescent="0.2">
      <c r="B12" s="41" t="s">
        <v>112</v>
      </c>
      <c r="C12" s="44">
        <v>1.0202</v>
      </c>
      <c r="I12" s="1" t="s">
        <v>35</v>
      </c>
      <c r="J12" s="1">
        <v>10</v>
      </c>
      <c r="K12" s="1">
        <v>0.88</v>
      </c>
      <c r="L12" s="37">
        <f t="shared" si="10"/>
        <v>0.79816523277641449</v>
      </c>
      <c r="M12" s="37">
        <f t="shared" si="3"/>
        <v>0.70238540484324474</v>
      </c>
      <c r="N12" s="37">
        <f t="shared" si="4"/>
        <v>7.0238540484324474</v>
      </c>
      <c r="O12" s="37">
        <f t="shared" si="5"/>
        <v>77.262394532756929</v>
      </c>
      <c r="Q12" s="1" t="s">
        <v>33</v>
      </c>
      <c r="R12" s="1">
        <v>10</v>
      </c>
      <c r="S12" s="1">
        <v>2.13</v>
      </c>
      <c r="T12" s="37">
        <f t="shared" si="11"/>
        <v>0.75355091523825657</v>
      </c>
      <c r="U12" s="37">
        <f t="shared" si="12"/>
        <v>1.6050634494574865</v>
      </c>
      <c r="V12" s="37">
        <f t="shared" si="13"/>
        <v>16.050634494574865</v>
      </c>
      <c r="W12" s="37">
        <f t="shared" si="6"/>
        <v>176.55697944032352</v>
      </c>
      <c r="Y12" s="1" t="s">
        <v>36</v>
      </c>
      <c r="Z12" s="1">
        <v>10</v>
      </c>
      <c r="AA12" s="1">
        <v>3.05</v>
      </c>
      <c r="AB12" s="1">
        <f t="shared" si="14"/>
        <v>0.74049143379042592</v>
      </c>
      <c r="AC12" s="37">
        <f t="shared" si="7"/>
        <v>2.2584988730607991</v>
      </c>
      <c r="AD12" s="37">
        <f t="shared" si="8"/>
        <v>22.584988730607989</v>
      </c>
      <c r="AE12" s="37">
        <f t="shared" si="0"/>
        <v>248.43487603668791</v>
      </c>
    </row>
    <row r="13" spans="1:31" x14ac:dyDescent="0.2">
      <c r="B13" s="41" t="s">
        <v>114</v>
      </c>
      <c r="C13" s="42">
        <f>C12*C12</f>
        <v>1.0408080399999999</v>
      </c>
      <c r="I13" s="1" t="s">
        <v>35</v>
      </c>
      <c r="J13" s="1">
        <v>11</v>
      </c>
      <c r="K13" s="1">
        <v>0.88</v>
      </c>
      <c r="L13" s="37">
        <f t="shared" si="10"/>
        <v>0.78037273443137911</v>
      </c>
      <c r="M13" s="37">
        <f t="shared" si="3"/>
        <v>0.68672800629961361</v>
      </c>
      <c r="N13" s="37">
        <f t="shared" si="4"/>
        <v>7.5540080692957501</v>
      </c>
      <c r="O13" s="37">
        <f t="shared" si="5"/>
        <v>90.648096831548997</v>
      </c>
      <c r="Q13" s="1" t="s">
        <v>33</v>
      </c>
      <c r="R13" s="1">
        <v>11</v>
      </c>
      <c r="S13" s="1">
        <v>2.13</v>
      </c>
      <c r="T13" s="37">
        <f t="shared" si="11"/>
        <v>0.73252737944809621</v>
      </c>
      <c r="U13" s="37">
        <f t="shared" si="12"/>
        <v>1.5602833182244449</v>
      </c>
      <c r="V13" s="37">
        <f t="shared" si="13"/>
        <v>17.163116500468895</v>
      </c>
      <c r="W13" s="37">
        <f t="shared" si="6"/>
        <v>205.95739800562671</v>
      </c>
      <c r="Y13" s="1" t="s">
        <v>36</v>
      </c>
      <c r="Z13" s="1">
        <v>11</v>
      </c>
      <c r="AA13" s="1">
        <v>3.05</v>
      </c>
      <c r="AB13" s="1">
        <f t="shared" si="14"/>
        <v>0.71857489935994756</v>
      </c>
      <c r="AC13" s="37">
        <f t="shared" si="7"/>
        <v>2.1916534430478398</v>
      </c>
      <c r="AD13" s="37">
        <f t="shared" si="8"/>
        <v>24.108187873526237</v>
      </c>
      <c r="AE13" s="37">
        <f t="shared" si="0"/>
        <v>289.29825448231486</v>
      </c>
    </row>
    <row r="14" spans="1:31" x14ac:dyDescent="0.2">
      <c r="B14" s="41" t="s">
        <v>101</v>
      </c>
      <c r="C14" s="42">
        <f>(G7)/(E7*C13)</f>
        <v>18.654969399020835</v>
      </c>
      <c r="I14" s="1" t="s">
        <v>35</v>
      </c>
      <c r="J14" s="1">
        <v>12</v>
      </c>
      <c r="K14" s="1">
        <v>0.88</v>
      </c>
      <c r="L14" s="37">
        <f t="shared" si="10"/>
        <v>0.76297686197827452</v>
      </c>
      <c r="M14" s="37">
        <f t="shared" si="3"/>
        <v>0.6714196385408816</v>
      </c>
      <c r="N14" s="37">
        <f t="shared" si="4"/>
        <v>8.0570356624905788</v>
      </c>
      <c r="O14" s="37">
        <f t="shared" si="5"/>
        <v>104.74146361237753</v>
      </c>
      <c r="Q14" s="1" t="s">
        <v>33</v>
      </c>
      <c r="R14" s="1">
        <v>12</v>
      </c>
      <c r="S14" s="1">
        <v>2.13</v>
      </c>
      <c r="T14" s="37">
        <f t="shared" si="11"/>
        <v>0.71209038538747571</v>
      </c>
      <c r="U14" s="37">
        <f t="shared" si="12"/>
        <v>1.5167525208753232</v>
      </c>
      <c r="V14" s="37">
        <f t="shared" si="13"/>
        <v>18.201030250503877</v>
      </c>
      <c r="W14" s="37">
        <f t="shared" si="6"/>
        <v>236.61339325655041</v>
      </c>
      <c r="Y14" s="1" t="s">
        <v>36</v>
      </c>
      <c r="Z14" s="1">
        <v>12</v>
      </c>
      <c r="AA14" s="1">
        <v>3.05</v>
      </c>
      <c r="AB14" s="1">
        <f t="shared" si="14"/>
        <v>0.69730703479859057</v>
      </c>
      <c r="AC14" s="37">
        <f t="shared" si="7"/>
        <v>2.1267864561357013</v>
      </c>
      <c r="AD14" s="37">
        <f t="shared" si="8"/>
        <v>25.521437473628417</v>
      </c>
      <c r="AE14" s="37">
        <f t="shared" si="0"/>
        <v>331.77868715716937</v>
      </c>
    </row>
    <row r="15" spans="1:31" x14ac:dyDescent="0.2">
      <c r="I15" s="1" t="s">
        <v>35</v>
      </c>
      <c r="J15" s="1">
        <v>13</v>
      </c>
      <c r="K15" s="1">
        <v>100.88</v>
      </c>
      <c r="L15" s="37">
        <f t="shared" si="10"/>
        <v>0.74596877393261107</v>
      </c>
      <c r="M15" s="37">
        <f t="shared" si="3"/>
        <v>75.253329914321796</v>
      </c>
      <c r="N15" s="37">
        <f t="shared" si="4"/>
        <v>978.29328888618329</v>
      </c>
      <c r="O15" s="37">
        <f t="shared" si="5"/>
        <v>13696.106044406566</v>
      </c>
      <c r="Q15" s="1" t="s">
        <v>33</v>
      </c>
      <c r="R15" s="1">
        <v>13</v>
      </c>
      <c r="S15" s="1">
        <v>2.13</v>
      </c>
      <c r="T15" s="37">
        <f t="shared" si="11"/>
        <v>0.69222356895837056</v>
      </c>
      <c r="U15" s="37">
        <f t="shared" si="12"/>
        <v>1.4744362018813293</v>
      </c>
      <c r="V15" s="37">
        <f t="shared" si="13"/>
        <v>19.16767062445728</v>
      </c>
      <c r="W15" s="37">
        <f t="shared" si="6"/>
        <v>268.3473887424019</v>
      </c>
      <c r="Y15" s="1" t="s">
        <v>36</v>
      </c>
      <c r="Z15" s="1">
        <v>13</v>
      </c>
      <c r="AA15" s="1">
        <v>3.05</v>
      </c>
      <c r="AB15" s="1">
        <f t="shared" si="14"/>
        <v>0.67666864124074777</v>
      </c>
      <c r="AC15" s="37">
        <f t="shared" si="7"/>
        <v>2.0638393557842805</v>
      </c>
      <c r="AD15" s="37">
        <f t="shared" si="8"/>
        <v>26.829911625195646</v>
      </c>
      <c r="AE15" s="37">
        <f t="shared" si="0"/>
        <v>375.61876275273903</v>
      </c>
    </row>
    <row r="16" spans="1:31" x14ac:dyDescent="0.2">
      <c r="L16" s="17" t="s">
        <v>113</v>
      </c>
      <c r="M16" s="40">
        <f>SUM(M3:M15)</f>
        <v>84.401591381827018</v>
      </c>
      <c r="N16" s="40">
        <f>SUM(N3:N15)</f>
        <v>1035.3023312753835</v>
      </c>
      <c r="O16" s="40">
        <f>SUM(O3:O15)</f>
        <v>14216.993478571945</v>
      </c>
      <c r="Q16" s="1" t="s">
        <v>33</v>
      </c>
      <c r="R16" s="1">
        <v>14</v>
      </c>
      <c r="S16" s="1">
        <v>2.13</v>
      </c>
      <c r="T16" s="37">
        <f t="shared" si="11"/>
        <v>0.67291102260947855</v>
      </c>
      <c r="U16" s="37">
        <f t="shared" si="12"/>
        <v>1.4333004781581893</v>
      </c>
      <c r="V16" s="37">
        <f t="shared" si="13"/>
        <v>20.06620669421465</v>
      </c>
      <c r="W16" s="37">
        <f t="shared" si="6"/>
        <v>300.99310041321974</v>
      </c>
      <c r="Y16" s="1" t="s">
        <v>36</v>
      </c>
      <c r="Z16" s="1">
        <v>14</v>
      </c>
      <c r="AA16" s="1">
        <v>3.05</v>
      </c>
      <c r="AB16" s="1">
        <f t="shared" si="14"/>
        <v>0.65664108805506816</v>
      </c>
      <c r="AC16" s="37">
        <f t="shared" si="7"/>
        <v>2.0027553185679579</v>
      </c>
      <c r="AD16" s="37">
        <f t="shared" si="8"/>
        <v>28.038574459951409</v>
      </c>
      <c r="AE16" s="37">
        <f t="shared" si="0"/>
        <v>420.57861689927114</v>
      </c>
    </row>
    <row r="17" spans="11:31" x14ac:dyDescent="0.2">
      <c r="Q17" s="1" t="s">
        <v>33</v>
      </c>
      <c r="R17" s="1">
        <v>15</v>
      </c>
      <c r="S17" s="1">
        <v>2.13</v>
      </c>
      <c r="T17" s="37">
        <f t="shared" si="11"/>
        <v>0.65413728259889048</v>
      </c>
      <c r="U17" s="37">
        <f t="shared" si="12"/>
        <v>1.3933124119356366</v>
      </c>
      <c r="V17" s="37">
        <f t="shared" si="13"/>
        <v>20.89968617903455</v>
      </c>
      <c r="W17" s="37">
        <f t="shared" si="6"/>
        <v>334.3949788645528</v>
      </c>
      <c r="Y17" s="1" t="s">
        <v>36</v>
      </c>
      <c r="Z17" s="1">
        <v>15</v>
      </c>
      <c r="AA17" s="1">
        <v>3.05</v>
      </c>
      <c r="AB17" s="1">
        <f t="shared" si="14"/>
        <v>0.63720629602626699</v>
      </c>
      <c r="AC17" s="37">
        <f t="shared" si="7"/>
        <v>1.9434792028801142</v>
      </c>
      <c r="AD17" s="37">
        <f t="shared" si="8"/>
        <v>29.152188043201715</v>
      </c>
      <c r="AE17" s="37">
        <f t="shared" si="0"/>
        <v>466.43500869122744</v>
      </c>
    </row>
    <row r="18" spans="11:31" x14ac:dyDescent="0.2">
      <c r="K18" s="41" t="s">
        <v>110</v>
      </c>
      <c r="L18" s="42">
        <f>N16/M16</f>
        <v>12.2663840139192</v>
      </c>
      <c r="Q18" s="1" t="s">
        <v>33</v>
      </c>
      <c r="R18" s="1">
        <v>16</v>
      </c>
      <c r="S18" s="1">
        <v>2.13</v>
      </c>
      <c r="T18" s="37">
        <f t="shared" si="11"/>
        <v>0.63588731661212261</v>
      </c>
      <c r="U18" s="37">
        <f t="shared" si="12"/>
        <v>1.3544399843838211</v>
      </c>
      <c r="V18" s="37">
        <f t="shared" si="13"/>
        <v>21.671039750141137</v>
      </c>
      <c r="W18" s="37">
        <f t="shared" si="6"/>
        <v>368.40767575239931</v>
      </c>
      <c r="Y18" s="1" t="s">
        <v>36</v>
      </c>
      <c r="Z18" s="1">
        <v>16</v>
      </c>
      <c r="AA18" s="1">
        <v>3.05</v>
      </c>
      <c r="AB18" s="1">
        <f t="shared" si="14"/>
        <v>0.61834672103470845</v>
      </c>
      <c r="AC18" s="37">
        <f t="shared" si="7"/>
        <v>1.8859574991558608</v>
      </c>
      <c r="AD18" s="37">
        <f t="shared" si="8"/>
        <v>30.175319986493772</v>
      </c>
      <c r="AE18" s="37">
        <f t="shared" si="0"/>
        <v>512.98043977039413</v>
      </c>
    </row>
    <row r="19" spans="11:31" x14ac:dyDescent="0.2">
      <c r="K19" s="41" t="s">
        <v>111</v>
      </c>
      <c r="L19" s="42">
        <f>L18/L20</f>
        <v>11.992944870863512</v>
      </c>
      <c r="Q19" s="1" t="s">
        <v>33</v>
      </c>
      <c r="R19" s="1">
        <v>17</v>
      </c>
      <c r="S19" s="1">
        <v>2.13</v>
      </c>
      <c r="T19" s="37">
        <f t="shared" si="11"/>
        <v>0.61814651172559798</v>
      </c>
      <c r="U19" s="37">
        <f t="shared" si="12"/>
        <v>1.3166520699755235</v>
      </c>
      <c r="V19" s="37">
        <f t="shared" si="13"/>
        <v>22.383085189583902</v>
      </c>
      <c r="W19" s="37">
        <f t="shared" si="6"/>
        <v>402.89553341251019</v>
      </c>
      <c r="Y19" s="1" t="s">
        <v>36</v>
      </c>
      <c r="Z19" s="1">
        <v>17</v>
      </c>
      <c r="AA19" s="1">
        <v>3.05</v>
      </c>
      <c r="AB19" s="1">
        <f t="shared" si="14"/>
        <v>0.60004533821902806</v>
      </c>
      <c r="AC19" s="37">
        <f t="shared" si="7"/>
        <v>1.8301382815680354</v>
      </c>
      <c r="AD19" s="37">
        <f t="shared" si="8"/>
        <v>31.112350786656602</v>
      </c>
      <c r="AE19" s="37">
        <f t="shared" si="0"/>
        <v>560.02231415981885</v>
      </c>
    </row>
    <row r="20" spans="11:31" x14ac:dyDescent="0.2">
      <c r="K20" s="41" t="s">
        <v>112</v>
      </c>
      <c r="L20" s="43">
        <v>1.0227999999999999</v>
      </c>
      <c r="Q20" s="1" t="s">
        <v>33</v>
      </c>
      <c r="R20" s="1">
        <v>18</v>
      </c>
      <c r="S20" s="1">
        <v>2.13</v>
      </c>
      <c r="T20" s="37">
        <f t="shared" si="11"/>
        <v>0.60090066270593756</v>
      </c>
      <c r="U20" s="37">
        <f t="shared" si="12"/>
        <v>1.2799184115636468</v>
      </c>
      <c r="V20" s="37">
        <f t="shared" si="13"/>
        <v>23.038531408145644</v>
      </c>
      <c r="W20" s="37">
        <f t="shared" si="6"/>
        <v>437.73209675476721</v>
      </c>
      <c r="Y20" s="1" t="s">
        <v>36</v>
      </c>
      <c r="Z20" s="1">
        <v>18</v>
      </c>
      <c r="AA20" s="1">
        <v>103.05</v>
      </c>
      <c r="AB20" s="1">
        <f t="shared" si="14"/>
        <v>0.58228562660749938</v>
      </c>
      <c r="AC20" s="37">
        <f t="shared" si="7"/>
        <v>60.004533821902811</v>
      </c>
      <c r="AD20" s="37">
        <f t="shared" si="8"/>
        <v>1080.0816087942505</v>
      </c>
      <c r="AE20" s="37">
        <f t="shared" si="0"/>
        <v>20521.550567090762</v>
      </c>
    </row>
    <row r="21" spans="11:31" x14ac:dyDescent="0.2">
      <c r="K21" s="41" t="s">
        <v>114</v>
      </c>
      <c r="L21" s="41">
        <f>L20*L20</f>
        <v>1.0461198399999998</v>
      </c>
      <c r="Q21" s="1" t="s">
        <v>33</v>
      </c>
      <c r="R21" s="1">
        <v>19</v>
      </c>
      <c r="S21" s="1">
        <v>2.13</v>
      </c>
      <c r="T21" s="37">
        <f t="shared" si="11"/>
        <v>0.58413596063569317</v>
      </c>
      <c r="U21" s="37">
        <f t="shared" si="12"/>
        <v>1.2442095961540265</v>
      </c>
      <c r="V21" s="37">
        <f t="shared" si="13"/>
        <v>23.639982326926503</v>
      </c>
      <c r="W21" s="37">
        <f t="shared" si="6"/>
        <v>472.79964653853006</v>
      </c>
      <c r="AB21" s="17" t="s">
        <v>113</v>
      </c>
      <c r="AC21" s="40">
        <f>SUM(AC3:AC20)</f>
        <v>100.00000000000003</v>
      </c>
      <c r="AD21" s="40">
        <f>SUM(AD3:AD20)</f>
        <v>1411.326759937614</v>
      </c>
      <c r="AE21" s="40">
        <f>SUM(AE3:AE20)</f>
        <v>24543.647037472845</v>
      </c>
    </row>
    <row r="22" spans="11:31" x14ac:dyDescent="0.2">
      <c r="K22" s="41" t="s">
        <v>101</v>
      </c>
      <c r="L22" s="42">
        <f>(O16)/(N16*L21)</f>
        <v>13.126808014846244</v>
      </c>
      <c r="Q22" s="1" t="s">
        <v>33</v>
      </c>
      <c r="R22" s="1">
        <v>20</v>
      </c>
      <c r="S22" s="1">
        <v>2.13</v>
      </c>
      <c r="T22" s="37">
        <f t="shared" si="11"/>
        <v>0.56783898185641413</v>
      </c>
      <c r="U22" s="37">
        <f t="shared" si="12"/>
        <v>1.209497031354162</v>
      </c>
      <c r="V22" s="37">
        <f t="shared" si="13"/>
        <v>24.189940627083239</v>
      </c>
      <c r="W22" s="37">
        <f t="shared" si="6"/>
        <v>507.98875316874802</v>
      </c>
    </row>
    <row r="23" spans="11:31" x14ac:dyDescent="0.2">
      <c r="Q23" s="1" t="s">
        <v>33</v>
      </c>
      <c r="R23" s="1">
        <v>21</v>
      </c>
      <c r="S23" s="1">
        <v>2.13</v>
      </c>
      <c r="T23" s="37">
        <f t="shared" si="11"/>
        <v>0.55199667722019452</v>
      </c>
      <c r="U23" s="37">
        <f t="shared" si="12"/>
        <v>1.1757529224790142</v>
      </c>
      <c r="V23" s="37">
        <f t="shared" si="13"/>
        <v>24.690811372059297</v>
      </c>
      <c r="W23" s="37">
        <f t="shared" si="6"/>
        <v>543.19785018530456</v>
      </c>
    </row>
    <row r="24" spans="11:31" x14ac:dyDescent="0.2">
      <c r="Q24" s="1" t="s">
        <v>33</v>
      </c>
      <c r="R24" s="1">
        <v>22</v>
      </c>
      <c r="S24" s="1">
        <v>2.13</v>
      </c>
      <c r="T24" s="37">
        <f t="shared" si="11"/>
        <v>0.53659636164109514</v>
      </c>
      <c r="U24" s="37">
        <f t="shared" si="12"/>
        <v>1.1429502502955327</v>
      </c>
      <c r="V24" s="37">
        <f t="shared" si="13"/>
        <v>25.144905506501718</v>
      </c>
      <c r="W24" s="37">
        <f t="shared" si="6"/>
        <v>578.33282664953947</v>
      </c>
      <c r="AA24" s="41" t="s">
        <v>110</v>
      </c>
      <c r="AB24" s="42">
        <f>AD21/AC21</f>
        <v>14.113267599376137</v>
      </c>
      <c r="AC24" s="17"/>
      <c r="AD24" s="17"/>
    </row>
    <row r="25" spans="11:31" x14ac:dyDescent="0.2">
      <c r="Q25" s="1" t="s">
        <v>33</v>
      </c>
      <c r="R25" s="1">
        <v>23</v>
      </c>
      <c r="S25" s="1">
        <v>2.13</v>
      </c>
      <c r="T25" s="37">
        <f t="shared" si="11"/>
        <v>0.5216257039380725</v>
      </c>
      <c r="U25" s="37">
        <f t="shared" si="12"/>
        <v>1.1110627493880945</v>
      </c>
      <c r="V25" s="37">
        <f t="shared" si="13"/>
        <v>25.554443235926172</v>
      </c>
      <c r="W25" s="37">
        <f t="shared" si="6"/>
        <v>613.30663766222813</v>
      </c>
      <c r="AA25" s="41" t="s">
        <v>111</v>
      </c>
      <c r="AB25" s="42">
        <f>AB24/AB26</f>
        <v>13.695553225983636</v>
      </c>
    </row>
    <row r="26" spans="11:31" x14ac:dyDescent="0.2">
      <c r="Q26" s="1" t="s">
        <v>33</v>
      </c>
      <c r="R26" s="1">
        <v>24</v>
      </c>
      <c r="S26" s="1">
        <v>2.13</v>
      </c>
      <c r="T26" s="37">
        <f t="shared" si="11"/>
        <v>0.50707271696128364</v>
      </c>
      <c r="U26" s="37">
        <f t="shared" si="12"/>
        <v>1.080064887127534</v>
      </c>
      <c r="V26" s="37">
        <f t="shared" si="13"/>
        <v>25.921557291060815</v>
      </c>
      <c r="W26" s="37">
        <f t="shared" si="6"/>
        <v>648.03893227652043</v>
      </c>
      <c r="AA26" s="41" t="s">
        <v>112</v>
      </c>
      <c r="AB26" s="41">
        <v>1.0305</v>
      </c>
    </row>
    <row r="27" spans="11:31" x14ac:dyDescent="0.2">
      <c r="Q27" s="1" t="s">
        <v>33</v>
      </c>
      <c r="R27" s="1">
        <v>25</v>
      </c>
      <c r="S27" s="1">
        <v>2.13</v>
      </c>
      <c r="T27" s="37">
        <f t="shared" si="11"/>
        <v>0.49292574799385991</v>
      </c>
      <c r="U27" s="37">
        <f t="shared" si="12"/>
        <v>1.0499318432269216</v>
      </c>
      <c r="V27" s="37">
        <f t="shared" si="13"/>
        <v>26.24829608067304</v>
      </c>
      <c r="W27" s="37">
        <f t="shared" si="6"/>
        <v>682.45569809749907</v>
      </c>
      <c r="AA27" s="41" t="s">
        <v>114</v>
      </c>
      <c r="AB27" s="42">
        <f>AB26*AB26</f>
        <v>1.0619302499999999</v>
      </c>
    </row>
    <row r="28" spans="11:31" x14ac:dyDescent="0.2">
      <c r="Q28" s="1" t="s">
        <v>33</v>
      </c>
      <c r="R28" s="1">
        <v>26</v>
      </c>
      <c r="S28" s="1">
        <v>2.13</v>
      </c>
      <c r="T28" s="37">
        <f t="shared" si="11"/>
        <v>0.47917346942146394</v>
      </c>
      <c r="U28" s="37">
        <f t="shared" si="12"/>
        <v>1.0206394898677182</v>
      </c>
      <c r="V28" s="37">
        <f t="shared" si="13"/>
        <v>26.536626736560674</v>
      </c>
      <c r="W28" s="37">
        <f t="shared" si="6"/>
        <v>716.48892188713819</v>
      </c>
      <c r="AA28" s="41" t="s">
        <v>101</v>
      </c>
      <c r="AB28" s="42">
        <f>(AE21)/(AD21*AB27)</f>
        <v>16.376290296050865</v>
      </c>
    </row>
    <row r="29" spans="11:31" x14ac:dyDescent="0.2">
      <c r="Q29" s="1" t="s">
        <v>33</v>
      </c>
      <c r="R29" s="1">
        <v>27</v>
      </c>
      <c r="S29" s="1">
        <v>2.13</v>
      </c>
      <c r="T29" s="37">
        <f t="shared" si="11"/>
        <v>0.46580486966215995</v>
      </c>
      <c r="U29" s="37">
        <f t="shared" si="12"/>
        <v>0.99216437238040067</v>
      </c>
      <c r="V29" s="37">
        <f t="shared" si="13"/>
        <v>26.788438054270816</v>
      </c>
      <c r="W29" s="37">
        <f t="shared" si="6"/>
        <v>750.07626551958288</v>
      </c>
    </row>
    <row r="30" spans="11:31" x14ac:dyDescent="0.2">
      <c r="Q30" s="1" t="s">
        <v>33</v>
      </c>
      <c r="R30" s="1">
        <v>28</v>
      </c>
      <c r="S30" s="1">
        <v>2.13</v>
      </c>
      <c r="T30" s="37">
        <f t="shared" si="11"/>
        <v>0.45280924434933406</v>
      </c>
      <c r="U30" s="37">
        <f t="shared" si="12"/>
        <v>0.96448369046408156</v>
      </c>
      <c r="V30" s="37">
        <f t="shared" si="13"/>
        <v>27.005543332994282</v>
      </c>
      <c r="W30" s="37">
        <f t="shared" si="6"/>
        <v>783.16075665683422</v>
      </c>
    </row>
    <row r="31" spans="11:31" x14ac:dyDescent="0.2">
      <c r="Q31" s="1" t="s">
        <v>33</v>
      </c>
      <c r="R31" s="1">
        <v>29</v>
      </c>
      <c r="S31" s="1">
        <v>2.13</v>
      </c>
      <c r="T31" s="37">
        <f t="shared" si="11"/>
        <v>0.44017618776060474</v>
      </c>
      <c r="U31" s="37">
        <f t="shared" si="12"/>
        <v>0.93757527993008805</v>
      </c>
      <c r="V31" s="37">
        <f t="shared" si="13"/>
        <v>27.189683117972553</v>
      </c>
      <c r="W31" s="37">
        <f t="shared" si="6"/>
        <v>815.6904935391766</v>
      </c>
    </row>
    <row r="32" spans="11:31" x14ac:dyDescent="0.2">
      <c r="Q32" s="1" t="s">
        <v>33</v>
      </c>
      <c r="R32" s="1">
        <v>30</v>
      </c>
      <c r="S32" s="1">
        <v>2.13</v>
      </c>
      <c r="T32" s="37">
        <f t="shared" si="11"/>
        <v>0.42789558448586057</v>
      </c>
      <c r="U32" s="37">
        <f t="shared" si="12"/>
        <v>0.91141759495488295</v>
      </c>
      <c r="V32" s="37">
        <f t="shared" si="13"/>
        <v>27.342527848646487</v>
      </c>
      <c r="W32" s="37">
        <f t="shared" si="6"/>
        <v>847.61836330804113</v>
      </c>
    </row>
    <row r="33" spans="17:23" x14ac:dyDescent="0.2">
      <c r="Q33" s="1" t="s">
        <v>33</v>
      </c>
      <c r="R33" s="1">
        <v>31</v>
      </c>
      <c r="S33" s="1">
        <v>2.13</v>
      </c>
      <c r="T33" s="37">
        <f t="shared" si="11"/>
        <v>0.41595760132775406</v>
      </c>
      <c r="U33" s="37">
        <f t="shared" si="12"/>
        <v>0.88598969082811607</v>
      </c>
      <c r="V33" s="37">
        <f t="shared" si="13"/>
        <v>27.465680415671599</v>
      </c>
      <c r="W33" s="37">
        <f t="shared" si="6"/>
        <v>878.90177330149118</v>
      </c>
    </row>
    <row r="34" spans="17:23" x14ac:dyDescent="0.2">
      <c r="Q34" s="1" t="s">
        <v>33</v>
      </c>
      <c r="R34" s="1">
        <v>32</v>
      </c>
      <c r="S34" s="1">
        <v>2.13</v>
      </c>
      <c r="T34" s="37">
        <f t="shared" si="11"/>
        <v>0.40435267942816572</v>
      </c>
      <c r="U34" s="37">
        <f t="shared" si="12"/>
        <v>0.8612712071819929</v>
      </c>
      <c r="V34" s="37">
        <f t="shared" si="13"/>
        <v>27.560678629823773</v>
      </c>
      <c r="W34" s="37">
        <f t="shared" si="6"/>
        <v>909.5023947841845</v>
      </c>
    </row>
    <row r="35" spans="17:23" x14ac:dyDescent="0.2">
      <c r="Q35" s="1" t="s">
        <v>33</v>
      </c>
      <c r="R35" s="1">
        <v>33</v>
      </c>
      <c r="S35" s="1">
        <v>2.13</v>
      </c>
      <c r="T35" s="37">
        <f t="shared" si="11"/>
        <v>0.39307152661433437</v>
      </c>
      <c r="U35" s="37">
        <f t="shared" si="12"/>
        <v>0.83724235168853212</v>
      </c>
      <c r="V35" s="37">
        <f t="shared" si="13"/>
        <v>27.628997605721558</v>
      </c>
      <c r="W35" s="37">
        <f t="shared" si="6"/>
        <v>939.385918594533</v>
      </c>
    </row>
    <row r="36" spans="17:23" x14ac:dyDescent="0.2">
      <c r="Q36" s="1" t="s">
        <v>33</v>
      </c>
      <c r="R36" s="1">
        <v>34</v>
      </c>
      <c r="S36" s="1">
        <v>2.13</v>
      </c>
      <c r="T36" s="37">
        <f t="shared" si="11"/>
        <v>0.3821051099585247</v>
      </c>
      <c r="U36" s="37">
        <f t="shared" si="12"/>
        <v>0.81388388421165758</v>
      </c>
      <c r="V36" s="37">
        <f t="shared" si="13"/>
        <v>27.672052063196357</v>
      </c>
      <c r="W36" s="37">
        <f t="shared" si="6"/>
        <v>968.52182221187252</v>
      </c>
    </row>
    <row r="37" spans="17:23" x14ac:dyDescent="0.2">
      <c r="Q37" s="1" t="s">
        <v>33</v>
      </c>
      <c r="R37" s="1">
        <v>35</v>
      </c>
      <c r="S37" s="1">
        <v>2.13</v>
      </c>
      <c r="T37" s="37">
        <f t="shared" si="11"/>
        <v>0.37144464854527531</v>
      </c>
      <c r="U37" s="37">
        <f t="shared" si="12"/>
        <v>0.79117710140143638</v>
      </c>
      <c r="V37" s="37">
        <f t="shared" si="13"/>
        <v>27.691198549050274</v>
      </c>
      <c r="W37" s="37">
        <f t="shared" si="6"/>
        <v>996.88314776580978</v>
      </c>
    </row>
    <row r="38" spans="17:23" x14ac:dyDescent="0.2">
      <c r="Q38" s="1" t="s">
        <v>33</v>
      </c>
      <c r="R38" s="1">
        <v>36</v>
      </c>
      <c r="S38" s="1">
        <v>2.13</v>
      </c>
      <c r="T38" s="37">
        <f t="shared" si="11"/>
        <v>0.36108160644043485</v>
      </c>
      <c r="U38" s="37">
        <f t="shared" si="12"/>
        <v>0.76910382171812619</v>
      </c>
      <c r="V38" s="37">
        <f t="shared" si="13"/>
        <v>27.687737581852542</v>
      </c>
      <c r="W38" s="37">
        <f t="shared" si="6"/>
        <v>1024.4462905285441</v>
      </c>
    </row>
    <row r="39" spans="17:23" x14ac:dyDescent="0.2">
      <c r="Q39" s="1" t="s">
        <v>33</v>
      </c>
      <c r="R39" s="1">
        <v>37</v>
      </c>
      <c r="S39" s="1">
        <v>2.13</v>
      </c>
      <c r="T39" s="37">
        <f t="shared" si="11"/>
        <v>0.35100768585635739</v>
      </c>
      <c r="U39" s="37">
        <f t="shared" si="12"/>
        <v>0.74764637087404118</v>
      </c>
      <c r="V39" s="37">
        <f t="shared" si="13"/>
        <v>27.662915722339523</v>
      </c>
      <c r="W39" s="37">
        <f t="shared" si="6"/>
        <v>1051.190797448902</v>
      </c>
    </row>
    <row r="40" spans="17:23" x14ac:dyDescent="0.2">
      <c r="Q40" s="1" t="s">
        <v>33</v>
      </c>
      <c r="R40" s="1">
        <v>38</v>
      </c>
      <c r="S40" s="1">
        <v>2.13</v>
      </c>
      <c r="T40" s="37">
        <f t="shared" si="11"/>
        <v>0.34121482050778401</v>
      </c>
      <c r="U40" s="37">
        <f t="shared" si="12"/>
        <v>0.72678756768157993</v>
      </c>
      <c r="V40" s="37">
        <f t="shared" si="13"/>
        <v>27.617927571900037</v>
      </c>
      <c r="W40" s="37">
        <f t="shared" si="6"/>
        <v>1077.0991753041014</v>
      </c>
    </row>
    <row r="41" spans="17:23" x14ac:dyDescent="0.2">
      <c r="Q41" s="1" t="s">
        <v>33</v>
      </c>
      <c r="R41" s="1">
        <v>39</v>
      </c>
      <c r="S41" s="1">
        <v>2.13</v>
      </c>
      <c r="T41" s="37">
        <f t="shared" si="11"/>
        <v>0.33169516915309033</v>
      </c>
      <c r="U41" s="37">
        <f t="shared" si="12"/>
        <v>0.70651071029608237</v>
      </c>
      <c r="V41" s="37">
        <f t="shared" si="13"/>
        <v>27.553917701547213</v>
      </c>
      <c r="W41" s="37">
        <f t="shared" si="6"/>
        <v>1102.1567080618886</v>
      </c>
    </row>
    <row r="42" spans="17:23" x14ac:dyDescent="0.2">
      <c r="Q42" s="1" t="s">
        <v>33</v>
      </c>
      <c r="R42" s="1">
        <v>40</v>
      </c>
      <c r="S42" s="1">
        <v>2.13</v>
      </c>
      <c r="T42" s="37">
        <f t="shared" si="11"/>
        <v>0.32244110931572895</v>
      </c>
      <c r="U42" s="37">
        <f t="shared" si="12"/>
        <v>0.68679956284250265</v>
      </c>
      <c r="V42" s="37">
        <f t="shared" si="13"/>
        <v>27.471982513700105</v>
      </c>
      <c r="W42" s="37">
        <f t="shared" si="6"/>
        <v>1126.3512830617044</v>
      </c>
    </row>
    <row r="43" spans="17:23" x14ac:dyDescent="0.2">
      <c r="Q43" s="1" t="s">
        <v>33</v>
      </c>
      <c r="R43" s="1">
        <v>41</v>
      </c>
      <c r="S43" s="1">
        <v>2.13</v>
      </c>
      <c r="T43" s="37">
        <f t="shared" si="11"/>
        <v>0.31344523118083889</v>
      </c>
      <c r="U43" s="37">
        <f t="shared" si="12"/>
        <v>0.66763834241518683</v>
      </c>
      <c r="V43" s="37">
        <f t="shared" si="13"/>
        <v>27.373172039022659</v>
      </c>
      <c r="W43" s="37">
        <f t="shared" si="6"/>
        <v>1149.6732256389516</v>
      </c>
    </row>
    <row r="44" spans="17:23" x14ac:dyDescent="0.2">
      <c r="Q44" s="1" t="s">
        <v>33</v>
      </c>
      <c r="R44" s="1">
        <v>42</v>
      </c>
      <c r="S44" s="1">
        <v>2.13</v>
      </c>
      <c r="T44" s="37">
        <f t="shared" si="11"/>
        <v>0.30470033166213562</v>
      </c>
      <c r="U44" s="37">
        <f t="shared" si="12"/>
        <v>0.64901170644034878</v>
      </c>
      <c r="V44" s="37">
        <f t="shared" si="13"/>
        <v>27.258491670494649</v>
      </c>
      <c r="W44" s="37">
        <f t="shared" si="6"/>
        <v>1172.11514183127</v>
      </c>
    </row>
    <row r="45" spans="17:23" x14ac:dyDescent="0.2">
      <c r="Q45" s="1" t="s">
        <v>33</v>
      </c>
      <c r="R45" s="1">
        <v>43</v>
      </c>
      <c r="S45" s="1">
        <v>2.13</v>
      </c>
      <c r="T45" s="37">
        <f t="shared" si="11"/>
        <v>0.29619940863433036</v>
      </c>
      <c r="U45" s="37">
        <f t="shared" si="12"/>
        <v>0.63090474039112365</v>
      </c>
      <c r="V45" s="37">
        <f t="shared" si="13"/>
        <v>27.128903836818317</v>
      </c>
      <c r="W45" s="37">
        <f t="shared" si="6"/>
        <v>1193.671768820006</v>
      </c>
    </row>
    <row r="46" spans="17:23" x14ac:dyDescent="0.2">
      <c r="Q46" s="1" t="s">
        <v>33</v>
      </c>
      <c r="R46" s="1">
        <v>44</v>
      </c>
      <c r="S46" s="1">
        <v>2.13</v>
      </c>
      <c r="T46" s="37">
        <f t="shared" si="11"/>
        <v>0.28793565532646093</v>
      </c>
      <c r="U46" s="37">
        <f t="shared" si="12"/>
        <v>0.61330294584536171</v>
      </c>
      <c r="V46" s="37">
        <f t="shared" si="13"/>
        <v>26.985329617195916</v>
      </c>
      <c r="W46" s="37">
        <f t="shared" si="6"/>
        <v>1214.3398327738162</v>
      </c>
    </row>
    <row r="47" spans="17:23" x14ac:dyDescent="0.2">
      <c r="Q47" s="1" t="s">
        <v>33</v>
      </c>
      <c r="R47" s="1">
        <v>45</v>
      </c>
      <c r="S47" s="1">
        <v>2.13</v>
      </c>
      <c r="T47" s="37">
        <f t="shared" si="11"/>
        <v>0.27990245487164472</v>
      </c>
      <c r="U47" s="37">
        <f t="shared" si="12"/>
        <v>0.59619222887660328</v>
      </c>
      <c r="V47" s="37">
        <f t="shared" si="13"/>
        <v>26.828650299447148</v>
      </c>
      <c r="W47" s="37">
        <f t="shared" si="6"/>
        <v>1234.1179137745687</v>
      </c>
    </row>
    <row r="48" spans="17:23" x14ac:dyDescent="0.2">
      <c r="Q48" s="1" t="s">
        <v>33</v>
      </c>
      <c r="R48" s="1">
        <v>46</v>
      </c>
      <c r="S48" s="1">
        <v>102.13</v>
      </c>
      <c r="T48" s="37">
        <f t="shared" si="11"/>
        <v>0.27209337500888958</v>
      </c>
      <c r="U48" s="37">
        <f t="shared" si="12"/>
        <v>27.788896389657893</v>
      </c>
      <c r="V48" s="37">
        <f t="shared" si="13"/>
        <v>1278.289233924263</v>
      </c>
      <c r="W48" s="37">
        <f t="shared" si="6"/>
        <v>60079.593994440365</v>
      </c>
    </row>
    <row r="49" spans="19:23" x14ac:dyDescent="0.2">
      <c r="T49" s="17" t="s">
        <v>113</v>
      </c>
      <c r="U49" s="40">
        <f>SUM(U3:U48)</f>
        <v>81.231675871309449</v>
      </c>
      <c r="V49" s="40">
        <f>SUM(V3:V48)</f>
        <v>2259.0535876987524</v>
      </c>
      <c r="W49" s="40">
        <f>SUM(W3:W48)</f>
        <v>87386.446526881729</v>
      </c>
    </row>
    <row r="51" spans="19:23" x14ac:dyDescent="0.2">
      <c r="S51" s="41" t="s">
        <v>110</v>
      </c>
      <c r="T51" s="42">
        <f>V49/U49</f>
        <v>27.810008392263601</v>
      </c>
    </row>
    <row r="52" spans="19:23" x14ac:dyDescent="0.2">
      <c r="S52" s="41" t="s">
        <v>111</v>
      </c>
      <c r="T52" s="42">
        <f>T51/T53</f>
        <v>27.034128893033539</v>
      </c>
    </row>
    <row r="53" spans="19:23" x14ac:dyDescent="0.2">
      <c r="S53" s="41" t="s">
        <v>112</v>
      </c>
      <c r="T53" s="43">
        <v>1.0286999999999999</v>
      </c>
    </row>
    <row r="54" spans="19:23" x14ac:dyDescent="0.2">
      <c r="S54" s="41" t="s">
        <v>114</v>
      </c>
      <c r="T54" s="41">
        <f>T53*T53</f>
        <v>1.0582236899999999</v>
      </c>
    </row>
    <row r="55" spans="19:23" x14ac:dyDescent="0.2">
      <c r="S55" s="41" t="s">
        <v>101</v>
      </c>
      <c r="T55" s="42">
        <f>(W49)/(V49*T54)</f>
        <v>36.554434258950572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Bond Analytics</vt:lpstr>
      <vt:lpstr>Bond Portfolio</vt:lpstr>
      <vt:lpstr>Raw data</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Muxin Hou</cp:lastModifiedBy>
  <dcterms:created xsi:type="dcterms:W3CDTF">2025-04-16T17:19:42Z</dcterms:created>
  <dcterms:modified xsi:type="dcterms:W3CDTF">2025-04-27T17:16:20Z</dcterms:modified>
</cp:coreProperties>
</file>